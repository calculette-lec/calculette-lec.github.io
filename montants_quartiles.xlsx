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onhabitat-my.sharepoint.com/personal/l_deken_union-habitat_org/Documents/Bureau/"/>
    </mc:Choice>
  </mc:AlternateContent>
  <xr:revisionPtr revIDLastSave="4" documentId="8_{951BC94F-854D-414E-B3D8-D1282734DC0A}" xr6:coauthVersionLast="47" xr6:coauthVersionMax="47" xr10:uidLastSave="{C8599DB3-0FCC-4E67-8163-49310E8D47D1}"/>
  <bookViews>
    <workbookView xWindow="-120" yWindow="-120" windowWidth="29040" windowHeight="17520" activeTab="2" xr2:uid="{AB1BC266-7134-47E7-9C53-7E282EA02F3B}"/>
  </bookViews>
  <sheets>
    <sheet name="Quartiles_2026" sheetId="3" r:id="rId1"/>
    <sheet name="Quartiles_2025" sheetId="1" r:id="rId2"/>
    <sheet name="Quartiles_2024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O463" i="3" l="1"/>
  <c r="N463" i="3"/>
  <c r="M463" i="3"/>
  <c r="L463" i="3"/>
  <c r="K463" i="3"/>
  <c r="B463" i="3"/>
  <c r="O462" i="3"/>
  <c r="N462" i="3"/>
  <c r="M462" i="3"/>
  <c r="L462" i="3"/>
  <c r="K462" i="3"/>
  <c r="B462" i="3"/>
  <c r="O461" i="3"/>
  <c r="N461" i="3"/>
  <c r="M461" i="3"/>
  <c r="L461" i="3"/>
  <c r="K461" i="3"/>
  <c r="B461" i="3"/>
  <c r="O460" i="3"/>
  <c r="N460" i="3"/>
  <c r="M460" i="3"/>
  <c r="L460" i="3"/>
  <c r="K460" i="3"/>
  <c r="B460" i="3"/>
  <c r="O459" i="3"/>
  <c r="N459" i="3"/>
  <c r="M459" i="3"/>
  <c r="L459" i="3"/>
  <c r="K459" i="3"/>
  <c r="B459" i="3"/>
  <c r="O458" i="3"/>
  <c r="N458" i="3"/>
  <c r="M458" i="3"/>
  <c r="L458" i="3"/>
  <c r="K458" i="3"/>
  <c r="B458" i="3"/>
  <c r="O457" i="3"/>
  <c r="N457" i="3"/>
  <c r="M457" i="3"/>
  <c r="L457" i="3"/>
  <c r="K457" i="3"/>
  <c r="B457" i="3"/>
  <c r="O456" i="3"/>
  <c r="N456" i="3"/>
  <c r="M456" i="3"/>
  <c r="L456" i="3"/>
  <c r="K456" i="3"/>
  <c r="B456" i="3"/>
  <c r="O455" i="3"/>
  <c r="N455" i="3"/>
  <c r="M455" i="3"/>
  <c r="L455" i="3"/>
  <c r="K455" i="3"/>
  <c r="B455" i="3"/>
  <c r="O454" i="3"/>
  <c r="N454" i="3"/>
  <c r="M454" i="3"/>
  <c r="L454" i="3"/>
  <c r="K454" i="3"/>
  <c r="B454" i="3"/>
  <c r="O453" i="3"/>
  <c r="N453" i="3"/>
  <c r="M453" i="3"/>
  <c r="L453" i="3"/>
  <c r="K453" i="3"/>
  <c r="B453" i="3"/>
  <c r="O452" i="3"/>
  <c r="N452" i="3"/>
  <c r="M452" i="3"/>
  <c r="L452" i="3"/>
  <c r="K452" i="3"/>
  <c r="B452" i="3"/>
  <c r="O451" i="3"/>
  <c r="N451" i="3"/>
  <c r="M451" i="3"/>
  <c r="L451" i="3"/>
  <c r="K451" i="3"/>
  <c r="B451" i="3"/>
  <c r="O450" i="3"/>
  <c r="N450" i="3"/>
  <c r="M450" i="3"/>
  <c r="L450" i="3"/>
  <c r="K450" i="3"/>
  <c r="B450" i="3"/>
  <c r="O449" i="3"/>
  <c r="N449" i="3"/>
  <c r="M449" i="3"/>
  <c r="L449" i="3"/>
  <c r="K449" i="3"/>
  <c r="B449" i="3"/>
  <c r="O448" i="3"/>
  <c r="N448" i="3"/>
  <c r="M448" i="3"/>
  <c r="L448" i="3"/>
  <c r="K448" i="3"/>
  <c r="B448" i="3"/>
  <c r="O447" i="3"/>
  <c r="N447" i="3"/>
  <c r="M447" i="3"/>
  <c r="L447" i="3"/>
  <c r="K447" i="3"/>
  <c r="B447" i="3"/>
  <c r="O446" i="3"/>
  <c r="N446" i="3"/>
  <c r="M446" i="3"/>
  <c r="L446" i="3"/>
  <c r="K446" i="3"/>
  <c r="B446" i="3"/>
  <c r="O445" i="3"/>
  <c r="N445" i="3"/>
  <c r="M445" i="3"/>
  <c r="L445" i="3"/>
  <c r="K445" i="3"/>
  <c r="B445" i="3"/>
  <c r="O444" i="3"/>
  <c r="N444" i="3"/>
  <c r="M444" i="3"/>
  <c r="L444" i="3"/>
  <c r="K444" i="3"/>
  <c r="B444" i="3"/>
  <c r="O443" i="3"/>
  <c r="N443" i="3"/>
  <c r="M443" i="3"/>
  <c r="L443" i="3"/>
  <c r="K443" i="3"/>
  <c r="B443" i="3"/>
  <c r="O442" i="3"/>
  <c r="N442" i="3"/>
  <c r="M442" i="3"/>
  <c r="L442" i="3"/>
  <c r="K442" i="3"/>
  <c r="B442" i="3"/>
  <c r="O441" i="3"/>
  <c r="N441" i="3"/>
  <c r="M441" i="3"/>
  <c r="L441" i="3"/>
  <c r="K441" i="3"/>
  <c r="B441" i="3"/>
  <c r="O440" i="3"/>
  <c r="N440" i="3"/>
  <c r="M440" i="3"/>
  <c r="L440" i="3"/>
  <c r="K440" i="3"/>
  <c r="B440" i="3"/>
  <c r="O439" i="3"/>
  <c r="N439" i="3"/>
  <c r="M439" i="3"/>
  <c r="L439" i="3"/>
  <c r="K439" i="3"/>
  <c r="B439" i="3"/>
  <c r="O438" i="3"/>
  <c r="N438" i="3"/>
  <c r="M438" i="3"/>
  <c r="L438" i="3"/>
  <c r="K438" i="3"/>
  <c r="B438" i="3"/>
  <c r="O437" i="3"/>
  <c r="N437" i="3"/>
  <c r="M437" i="3"/>
  <c r="L437" i="3"/>
  <c r="K437" i="3"/>
  <c r="B437" i="3"/>
  <c r="O436" i="3"/>
  <c r="N436" i="3"/>
  <c r="M436" i="3"/>
  <c r="L436" i="3"/>
  <c r="K436" i="3"/>
  <c r="B436" i="3"/>
  <c r="O435" i="3"/>
  <c r="N435" i="3"/>
  <c r="M435" i="3"/>
  <c r="L435" i="3"/>
  <c r="K435" i="3"/>
  <c r="B435" i="3"/>
  <c r="O434" i="3"/>
  <c r="N434" i="3"/>
  <c r="M434" i="3"/>
  <c r="L434" i="3"/>
  <c r="K434" i="3"/>
  <c r="B434" i="3"/>
  <c r="O433" i="3"/>
  <c r="N433" i="3"/>
  <c r="M433" i="3"/>
  <c r="L433" i="3"/>
  <c r="K433" i="3"/>
  <c r="B433" i="3"/>
  <c r="O432" i="3"/>
  <c r="N432" i="3"/>
  <c r="M432" i="3"/>
  <c r="L432" i="3"/>
  <c r="K432" i="3"/>
  <c r="B432" i="3"/>
  <c r="O431" i="3"/>
  <c r="N431" i="3"/>
  <c r="M431" i="3"/>
  <c r="L431" i="3"/>
  <c r="K431" i="3"/>
  <c r="B431" i="3"/>
  <c r="O430" i="3"/>
  <c r="N430" i="3"/>
  <c r="M430" i="3"/>
  <c r="L430" i="3"/>
  <c r="K430" i="3"/>
  <c r="B430" i="3"/>
  <c r="O429" i="3"/>
  <c r="N429" i="3"/>
  <c r="M429" i="3"/>
  <c r="L429" i="3"/>
  <c r="K429" i="3"/>
  <c r="B429" i="3"/>
  <c r="O428" i="3"/>
  <c r="N428" i="3"/>
  <c r="M428" i="3"/>
  <c r="L428" i="3"/>
  <c r="K428" i="3"/>
  <c r="B428" i="3"/>
  <c r="O427" i="3"/>
  <c r="N427" i="3"/>
  <c r="M427" i="3"/>
  <c r="L427" i="3"/>
  <c r="K427" i="3"/>
  <c r="B427" i="3"/>
  <c r="O426" i="3"/>
  <c r="N426" i="3"/>
  <c r="M426" i="3"/>
  <c r="L426" i="3"/>
  <c r="K426" i="3"/>
  <c r="B426" i="3"/>
  <c r="O425" i="3"/>
  <c r="N425" i="3"/>
  <c r="M425" i="3"/>
  <c r="L425" i="3"/>
  <c r="K425" i="3"/>
  <c r="B425" i="3"/>
  <c r="O424" i="3"/>
  <c r="N424" i="3"/>
  <c r="M424" i="3"/>
  <c r="L424" i="3"/>
  <c r="K424" i="3"/>
  <c r="B424" i="3"/>
  <c r="O423" i="3"/>
  <c r="N423" i="3"/>
  <c r="M423" i="3"/>
  <c r="L423" i="3"/>
  <c r="K423" i="3"/>
  <c r="B423" i="3"/>
  <c r="O422" i="3"/>
  <c r="N422" i="3"/>
  <c r="M422" i="3"/>
  <c r="L422" i="3"/>
  <c r="K422" i="3"/>
  <c r="B422" i="3"/>
  <c r="O421" i="3"/>
  <c r="N421" i="3"/>
  <c r="M421" i="3"/>
  <c r="L421" i="3"/>
  <c r="K421" i="3"/>
  <c r="B421" i="3"/>
  <c r="O420" i="3"/>
  <c r="N420" i="3"/>
  <c r="M420" i="3"/>
  <c r="L420" i="3"/>
  <c r="K420" i="3"/>
  <c r="B420" i="3"/>
  <c r="O419" i="3"/>
  <c r="N419" i="3"/>
  <c r="M419" i="3"/>
  <c r="L419" i="3"/>
  <c r="K419" i="3"/>
  <c r="B419" i="3"/>
  <c r="O418" i="3"/>
  <c r="N418" i="3"/>
  <c r="M418" i="3"/>
  <c r="L418" i="3"/>
  <c r="K418" i="3"/>
  <c r="B418" i="3"/>
  <c r="O417" i="3"/>
  <c r="N417" i="3"/>
  <c r="M417" i="3"/>
  <c r="L417" i="3"/>
  <c r="K417" i="3"/>
  <c r="B417" i="3"/>
  <c r="O416" i="3"/>
  <c r="N416" i="3"/>
  <c r="M416" i="3"/>
  <c r="L416" i="3"/>
  <c r="K416" i="3"/>
  <c r="B416" i="3"/>
  <c r="O415" i="3"/>
  <c r="N415" i="3"/>
  <c r="M415" i="3"/>
  <c r="L415" i="3"/>
  <c r="K415" i="3"/>
  <c r="B415" i="3"/>
  <c r="O414" i="3"/>
  <c r="N414" i="3"/>
  <c r="M414" i="3"/>
  <c r="L414" i="3"/>
  <c r="K414" i="3"/>
  <c r="B414" i="3"/>
  <c r="O413" i="3"/>
  <c r="N413" i="3"/>
  <c r="M413" i="3"/>
  <c r="L413" i="3"/>
  <c r="K413" i="3"/>
  <c r="B413" i="3"/>
  <c r="O412" i="3"/>
  <c r="N412" i="3"/>
  <c r="M412" i="3"/>
  <c r="L412" i="3"/>
  <c r="K412" i="3"/>
  <c r="B412" i="3"/>
  <c r="O411" i="3"/>
  <c r="N411" i="3"/>
  <c r="M411" i="3"/>
  <c r="L411" i="3"/>
  <c r="K411" i="3"/>
  <c r="B411" i="3"/>
  <c r="O410" i="3"/>
  <c r="N410" i="3"/>
  <c r="M410" i="3"/>
  <c r="L410" i="3"/>
  <c r="K410" i="3"/>
  <c r="B410" i="3"/>
  <c r="O409" i="3"/>
  <c r="N409" i="3"/>
  <c r="M409" i="3"/>
  <c r="L409" i="3"/>
  <c r="K409" i="3"/>
  <c r="B409" i="3"/>
  <c r="O408" i="3"/>
  <c r="N408" i="3"/>
  <c r="M408" i="3"/>
  <c r="L408" i="3"/>
  <c r="K408" i="3"/>
  <c r="B408" i="3"/>
  <c r="O407" i="3"/>
  <c r="N407" i="3"/>
  <c r="M407" i="3"/>
  <c r="L407" i="3"/>
  <c r="K407" i="3"/>
  <c r="B407" i="3"/>
  <c r="O406" i="3"/>
  <c r="N406" i="3"/>
  <c r="M406" i="3"/>
  <c r="L406" i="3"/>
  <c r="K406" i="3"/>
  <c r="B406" i="3"/>
  <c r="O405" i="3"/>
  <c r="N405" i="3"/>
  <c r="M405" i="3"/>
  <c r="L405" i="3"/>
  <c r="K405" i="3"/>
  <c r="B405" i="3"/>
  <c r="O404" i="3"/>
  <c r="N404" i="3"/>
  <c r="M404" i="3"/>
  <c r="L404" i="3"/>
  <c r="K404" i="3"/>
  <c r="B404" i="3"/>
  <c r="O403" i="3"/>
  <c r="N403" i="3"/>
  <c r="M403" i="3"/>
  <c r="L403" i="3"/>
  <c r="K403" i="3"/>
  <c r="B403" i="3"/>
  <c r="O402" i="3"/>
  <c r="N402" i="3"/>
  <c r="M402" i="3"/>
  <c r="L402" i="3"/>
  <c r="K402" i="3"/>
  <c r="B402" i="3"/>
  <c r="O401" i="3"/>
  <c r="N401" i="3"/>
  <c r="M401" i="3"/>
  <c r="L401" i="3"/>
  <c r="K401" i="3"/>
  <c r="B401" i="3"/>
  <c r="O400" i="3"/>
  <c r="N400" i="3"/>
  <c r="M400" i="3"/>
  <c r="L400" i="3"/>
  <c r="K400" i="3"/>
  <c r="B400" i="3"/>
  <c r="O399" i="3"/>
  <c r="N399" i="3"/>
  <c r="M399" i="3"/>
  <c r="L399" i="3"/>
  <c r="K399" i="3"/>
  <c r="B399" i="3"/>
  <c r="O398" i="3"/>
  <c r="N398" i="3"/>
  <c r="M398" i="3"/>
  <c r="L398" i="3"/>
  <c r="K398" i="3"/>
  <c r="B398" i="3"/>
  <c r="O397" i="3"/>
  <c r="N397" i="3"/>
  <c r="M397" i="3"/>
  <c r="L397" i="3"/>
  <c r="K397" i="3"/>
  <c r="B397" i="3"/>
  <c r="O396" i="3"/>
  <c r="N396" i="3"/>
  <c r="M396" i="3"/>
  <c r="L396" i="3"/>
  <c r="K396" i="3"/>
  <c r="B396" i="3"/>
  <c r="O395" i="3"/>
  <c r="N395" i="3"/>
  <c r="M395" i="3"/>
  <c r="L395" i="3"/>
  <c r="K395" i="3"/>
  <c r="B395" i="3"/>
  <c r="O394" i="3"/>
  <c r="N394" i="3"/>
  <c r="M394" i="3"/>
  <c r="L394" i="3"/>
  <c r="K394" i="3"/>
  <c r="B394" i="3"/>
  <c r="O393" i="3"/>
  <c r="N393" i="3"/>
  <c r="M393" i="3"/>
  <c r="L393" i="3"/>
  <c r="K393" i="3"/>
  <c r="B393" i="3"/>
  <c r="O392" i="3"/>
  <c r="N392" i="3"/>
  <c r="M392" i="3"/>
  <c r="L392" i="3"/>
  <c r="K392" i="3"/>
  <c r="B392" i="3"/>
  <c r="O391" i="3"/>
  <c r="N391" i="3"/>
  <c r="M391" i="3"/>
  <c r="L391" i="3"/>
  <c r="K391" i="3"/>
  <c r="B391" i="3"/>
  <c r="O390" i="3"/>
  <c r="N390" i="3"/>
  <c r="M390" i="3"/>
  <c r="L390" i="3"/>
  <c r="K390" i="3"/>
  <c r="B390" i="3"/>
  <c r="O389" i="3"/>
  <c r="N389" i="3"/>
  <c r="M389" i="3"/>
  <c r="L389" i="3"/>
  <c r="K389" i="3"/>
  <c r="B389" i="3"/>
  <c r="O388" i="3"/>
  <c r="N388" i="3"/>
  <c r="M388" i="3"/>
  <c r="L388" i="3"/>
  <c r="K388" i="3"/>
  <c r="B388" i="3"/>
  <c r="O387" i="3"/>
  <c r="N387" i="3"/>
  <c r="M387" i="3"/>
  <c r="L387" i="3"/>
  <c r="K387" i="3"/>
  <c r="B387" i="3"/>
  <c r="O386" i="3"/>
  <c r="N386" i="3"/>
  <c r="M386" i="3"/>
  <c r="L386" i="3"/>
  <c r="K386" i="3"/>
  <c r="B386" i="3"/>
  <c r="O385" i="3"/>
  <c r="N385" i="3"/>
  <c r="M385" i="3"/>
  <c r="L385" i="3"/>
  <c r="K385" i="3"/>
  <c r="B385" i="3"/>
  <c r="O384" i="3"/>
  <c r="N384" i="3"/>
  <c r="M384" i="3"/>
  <c r="L384" i="3"/>
  <c r="K384" i="3"/>
  <c r="B384" i="3"/>
  <c r="O383" i="3"/>
  <c r="N383" i="3"/>
  <c r="M383" i="3"/>
  <c r="L383" i="3"/>
  <c r="K383" i="3"/>
  <c r="B383" i="3"/>
  <c r="O382" i="3"/>
  <c r="N382" i="3"/>
  <c r="M382" i="3"/>
  <c r="L382" i="3"/>
  <c r="K382" i="3"/>
  <c r="B382" i="3"/>
  <c r="O381" i="3"/>
  <c r="N381" i="3"/>
  <c r="M381" i="3"/>
  <c r="L381" i="3"/>
  <c r="K381" i="3"/>
  <c r="B381" i="3"/>
  <c r="O380" i="3"/>
  <c r="N380" i="3"/>
  <c r="M380" i="3"/>
  <c r="L380" i="3"/>
  <c r="K380" i="3"/>
  <c r="B380" i="3"/>
  <c r="O379" i="3"/>
  <c r="N379" i="3"/>
  <c r="M379" i="3"/>
  <c r="L379" i="3"/>
  <c r="K379" i="3"/>
  <c r="B379" i="3"/>
  <c r="O378" i="3"/>
  <c r="N378" i="3"/>
  <c r="M378" i="3"/>
  <c r="L378" i="3"/>
  <c r="K378" i="3"/>
  <c r="B378" i="3"/>
  <c r="O377" i="3"/>
  <c r="N377" i="3"/>
  <c r="M377" i="3"/>
  <c r="L377" i="3"/>
  <c r="K377" i="3"/>
  <c r="B377" i="3"/>
  <c r="O376" i="3"/>
  <c r="N376" i="3"/>
  <c r="M376" i="3"/>
  <c r="L376" i="3"/>
  <c r="K376" i="3"/>
  <c r="B376" i="3"/>
  <c r="O375" i="3"/>
  <c r="N375" i="3"/>
  <c r="M375" i="3"/>
  <c r="L375" i="3"/>
  <c r="K375" i="3"/>
  <c r="B375" i="3"/>
  <c r="O374" i="3"/>
  <c r="N374" i="3"/>
  <c r="M374" i="3"/>
  <c r="L374" i="3"/>
  <c r="K374" i="3"/>
  <c r="B374" i="3"/>
  <c r="O373" i="3"/>
  <c r="N373" i="3"/>
  <c r="M373" i="3"/>
  <c r="L373" i="3"/>
  <c r="K373" i="3"/>
  <c r="B373" i="3"/>
  <c r="O372" i="3"/>
  <c r="N372" i="3"/>
  <c r="M372" i="3"/>
  <c r="L372" i="3"/>
  <c r="K372" i="3"/>
  <c r="B372" i="3"/>
  <c r="O371" i="3"/>
  <c r="N371" i="3"/>
  <c r="M371" i="3"/>
  <c r="L371" i="3"/>
  <c r="K371" i="3"/>
  <c r="B371" i="3"/>
  <c r="O370" i="3"/>
  <c r="N370" i="3"/>
  <c r="M370" i="3"/>
  <c r="L370" i="3"/>
  <c r="K370" i="3"/>
  <c r="B370" i="3"/>
  <c r="O369" i="3"/>
  <c r="N369" i="3"/>
  <c r="M369" i="3"/>
  <c r="L369" i="3"/>
  <c r="K369" i="3"/>
  <c r="B369" i="3"/>
  <c r="O368" i="3"/>
  <c r="N368" i="3"/>
  <c r="M368" i="3"/>
  <c r="L368" i="3"/>
  <c r="K368" i="3"/>
  <c r="B368" i="3"/>
  <c r="O367" i="3"/>
  <c r="N367" i="3"/>
  <c r="M367" i="3"/>
  <c r="L367" i="3"/>
  <c r="K367" i="3"/>
  <c r="B367" i="3"/>
  <c r="O366" i="3"/>
  <c r="N366" i="3"/>
  <c r="M366" i="3"/>
  <c r="L366" i="3"/>
  <c r="K366" i="3"/>
  <c r="B366" i="3"/>
  <c r="O365" i="3"/>
  <c r="N365" i="3"/>
  <c r="M365" i="3"/>
  <c r="L365" i="3"/>
  <c r="K365" i="3"/>
  <c r="B365" i="3"/>
  <c r="O364" i="3"/>
  <c r="N364" i="3"/>
  <c r="M364" i="3"/>
  <c r="L364" i="3"/>
  <c r="K364" i="3"/>
  <c r="B364" i="3"/>
  <c r="O363" i="3"/>
  <c r="N363" i="3"/>
  <c r="M363" i="3"/>
  <c r="L363" i="3"/>
  <c r="K363" i="3"/>
  <c r="B363" i="3"/>
  <c r="O362" i="3"/>
  <c r="N362" i="3"/>
  <c r="M362" i="3"/>
  <c r="L362" i="3"/>
  <c r="K362" i="3"/>
  <c r="B362" i="3"/>
  <c r="O361" i="3"/>
  <c r="N361" i="3"/>
  <c r="M361" i="3"/>
  <c r="L361" i="3"/>
  <c r="K361" i="3"/>
  <c r="B361" i="3"/>
  <c r="O360" i="3"/>
  <c r="N360" i="3"/>
  <c r="M360" i="3"/>
  <c r="L360" i="3"/>
  <c r="K360" i="3"/>
  <c r="B360" i="3"/>
  <c r="O359" i="3"/>
  <c r="N359" i="3"/>
  <c r="M359" i="3"/>
  <c r="L359" i="3"/>
  <c r="K359" i="3"/>
  <c r="B359" i="3"/>
  <c r="O358" i="3"/>
  <c r="N358" i="3"/>
  <c r="M358" i="3"/>
  <c r="L358" i="3"/>
  <c r="K358" i="3"/>
  <c r="B358" i="3"/>
  <c r="O357" i="3"/>
  <c r="N357" i="3"/>
  <c r="M357" i="3"/>
  <c r="L357" i="3"/>
  <c r="K357" i="3"/>
  <c r="B357" i="3"/>
  <c r="O356" i="3"/>
  <c r="N356" i="3"/>
  <c r="M356" i="3"/>
  <c r="L356" i="3"/>
  <c r="K356" i="3"/>
  <c r="B356" i="3"/>
  <c r="O355" i="3"/>
  <c r="N355" i="3"/>
  <c r="M355" i="3"/>
  <c r="L355" i="3"/>
  <c r="K355" i="3"/>
  <c r="B355" i="3"/>
  <c r="O354" i="3"/>
  <c r="N354" i="3"/>
  <c r="M354" i="3"/>
  <c r="L354" i="3"/>
  <c r="K354" i="3"/>
  <c r="B354" i="3"/>
  <c r="O353" i="3"/>
  <c r="N353" i="3"/>
  <c r="M353" i="3"/>
  <c r="L353" i="3"/>
  <c r="K353" i="3"/>
  <c r="B353" i="3"/>
  <c r="O352" i="3"/>
  <c r="N352" i="3"/>
  <c r="M352" i="3"/>
  <c r="L352" i="3"/>
  <c r="K352" i="3"/>
  <c r="B352" i="3"/>
  <c r="O351" i="3"/>
  <c r="N351" i="3"/>
  <c r="M351" i="3"/>
  <c r="L351" i="3"/>
  <c r="K351" i="3"/>
  <c r="B351" i="3"/>
  <c r="O350" i="3"/>
  <c r="N350" i="3"/>
  <c r="M350" i="3"/>
  <c r="L350" i="3"/>
  <c r="K350" i="3"/>
  <c r="B350" i="3"/>
  <c r="O349" i="3"/>
  <c r="N349" i="3"/>
  <c r="M349" i="3"/>
  <c r="L349" i="3"/>
  <c r="K349" i="3"/>
  <c r="B349" i="3"/>
  <c r="O348" i="3"/>
  <c r="N348" i="3"/>
  <c r="M348" i="3"/>
  <c r="L348" i="3"/>
  <c r="K348" i="3"/>
  <c r="B348" i="3"/>
  <c r="O347" i="3"/>
  <c r="N347" i="3"/>
  <c r="M347" i="3"/>
  <c r="L347" i="3"/>
  <c r="K347" i="3"/>
  <c r="B347" i="3"/>
  <c r="O346" i="3"/>
  <c r="N346" i="3"/>
  <c r="M346" i="3"/>
  <c r="L346" i="3"/>
  <c r="K346" i="3"/>
  <c r="B346" i="3"/>
  <c r="O345" i="3"/>
  <c r="N345" i="3"/>
  <c r="M345" i="3"/>
  <c r="L345" i="3"/>
  <c r="K345" i="3"/>
  <c r="B345" i="3"/>
  <c r="O344" i="3"/>
  <c r="N344" i="3"/>
  <c r="M344" i="3"/>
  <c r="L344" i="3"/>
  <c r="K344" i="3"/>
  <c r="B344" i="3"/>
  <c r="O343" i="3"/>
  <c r="N343" i="3"/>
  <c r="M343" i="3"/>
  <c r="L343" i="3"/>
  <c r="K343" i="3"/>
  <c r="B343" i="3"/>
  <c r="O342" i="3"/>
  <c r="N342" i="3"/>
  <c r="M342" i="3"/>
  <c r="L342" i="3"/>
  <c r="K342" i="3"/>
  <c r="B342" i="3"/>
  <c r="O341" i="3"/>
  <c r="N341" i="3"/>
  <c r="M341" i="3"/>
  <c r="L341" i="3"/>
  <c r="K341" i="3"/>
  <c r="B341" i="3"/>
  <c r="O340" i="3"/>
  <c r="N340" i="3"/>
  <c r="M340" i="3"/>
  <c r="L340" i="3"/>
  <c r="K340" i="3"/>
  <c r="B340" i="3"/>
  <c r="O339" i="3"/>
  <c r="N339" i="3"/>
  <c r="M339" i="3"/>
  <c r="L339" i="3"/>
  <c r="K339" i="3"/>
  <c r="B339" i="3"/>
  <c r="O338" i="3"/>
  <c r="N338" i="3"/>
  <c r="M338" i="3"/>
  <c r="L338" i="3"/>
  <c r="K338" i="3"/>
  <c r="B338" i="3"/>
  <c r="O337" i="3"/>
  <c r="N337" i="3"/>
  <c r="M337" i="3"/>
  <c r="L337" i="3"/>
  <c r="K337" i="3"/>
  <c r="B337" i="3"/>
  <c r="O336" i="3"/>
  <c r="N336" i="3"/>
  <c r="M336" i="3"/>
  <c r="L336" i="3"/>
  <c r="K336" i="3"/>
  <c r="B336" i="3"/>
  <c r="O335" i="3"/>
  <c r="N335" i="3"/>
  <c r="M335" i="3"/>
  <c r="L335" i="3"/>
  <c r="K335" i="3"/>
  <c r="B335" i="3"/>
  <c r="O334" i="3"/>
  <c r="N334" i="3"/>
  <c r="M334" i="3"/>
  <c r="L334" i="3"/>
  <c r="K334" i="3"/>
  <c r="B334" i="3"/>
  <c r="O333" i="3"/>
  <c r="N333" i="3"/>
  <c r="M333" i="3"/>
  <c r="L333" i="3"/>
  <c r="K333" i="3"/>
  <c r="B333" i="3"/>
  <c r="O332" i="3"/>
  <c r="N332" i="3"/>
  <c r="M332" i="3"/>
  <c r="L332" i="3"/>
  <c r="K332" i="3"/>
  <c r="B332" i="3"/>
  <c r="O331" i="3"/>
  <c r="N331" i="3"/>
  <c r="M331" i="3"/>
  <c r="L331" i="3"/>
  <c r="K331" i="3"/>
  <c r="B331" i="3"/>
  <c r="O330" i="3"/>
  <c r="N330" i="3"/>
  <c r="M330" i="3"/>
  <c r="L330" i="3"/>
  <c r="K330" i="3"/>
  <c r="B330" i="3"/>
  <c r="O329" i="3"/>
  <c r="N329" i="3"/>
  <c r="M329" i="3"/>
  <c r="L329" i="3"/>
  <c r="K329" i="3"/>
  <c r="B329" i="3"/>
  <c r="O328" i="3"/>
  <c r="N328" i="3"/>
  <c r="M328" i="3"/>
  <c r="L328" i="3"/>
  <c r="K328" i="3"/>
  <c r="B328" i="3"/>
  <c r="O327" i="3"/>
  <c r="N327" i="3"/>
  <c r="M327" i="3"/>
  <c r="L327" i="3"/>
  <c r="K327" i="3"/>
  <c r="B327" i="3"/>
  <c r="O326" i="3"/>
  <c r="N326" i="3"/>
  <c r="M326" i="3"/>
  <c r="L326" i="3"/>
  <c r="K326" i="3"/>
  <c r="B326" i="3"/>
  <c r="O325" i="3"/>
  <c r="N325" i="3"/>
  <c r="M325" i="3"/>
  <c r="L325" i="3"/>
  <c r="K325" i="3"/>
  <c r="B325" i="3"/>
  <c r="O324" i="3"/>
  <c r="N324" i="3"/>
  <c r="M324" i="3"/>
  <c r="L324" i="3"/>
  <c r="K324" i="3"/>
  <c r="B324" i="3"/>
  <c r="O323" i="3"/>
  <c r="N323" i="3"/>
  <c r="M323" i="3"/>
  <c r="L323" i="3"/>
  <c r="K323" i="3"/>
  <c r="B323" i="3"/>
  <c r="O322" i="3"/>
  <c r="N322" i="3"/>
  <c r="M322" i="3"/>
  <c r="L322" i="3"/>
  <c r="K322" i="3"/>
  <c r="B322" i="3"/>
  <c r="O321" i="3"/>
  <c r="N321" i="3"/>
  <c r="M321" i="3"/>
  <c r="L321" i="3"/>
  <c r="K321" i="3"/>
  <c r="B321" i="3"/>
  <c r="O320" i="3"/>
  <c r="N320" i="3"/>
  <c r="M320" i="3"/>
  <c r="L320" i="3"/>
  <c r="K320" i="3"/>
  <c r="B320" i="3"/>
  <c r="O319" i="3"/>
  <c r="N319" i="3"/>
  <c r="M319" i="3"/>
  <c r="L319" i="3"/>
  <c r="K319" i="3"/>
  <c r="B319" i="3"/>
  <c r="O318" i="3"/>
  <c r="N318" i="3"/>
  <c r="M318" i="3"/>
  <c r="L318" i="3"/>
  <c r="K318" i="3"/>
  <c r="B318" i="3"/>
  <c r="O317" i="3"/>
  <c r="N317" i="3"/>
  <c r="M317" i="3"/>
  <c r="L317" i="3"/>
  <c r="K317" i="3"/>
  <c r="B317" i="3"/>
  <c r="O316" i="3"/>
  <c r="N316" i="3"/>
  <c r="M316" i="3"/>
  <c r="L316" i="3"/>
  <c r="K316" i="3"/>
  <c r="B316" i="3"/>
  <c r="O315" i="3"/>
  <c r="N315" i="3"/>
  <c r="M315" i="3"/>
  <c r="L315" i="3"/>
  <c r="K315" i="3"/>
  <c r="B315" i="3"/>
  <c r="O314" i="3"/>
  <c r="N314" i="3"/>
  <c r="M314" i="3"/>
  <c r="L314" i="3"/>
  <c r="K314" i="3"/>
  <c r="B314" i="3"/>
  <c r="O313" i="3"/>
  <c r="N313" i="3"/>
  <c r="M313" i="3"/>
  <c r="L313" i="3"/>
  <c r="K313" i="3"/>
  <c r="B313" i="3"/>
  <c r="O312" i="3"/>
  <c r="N312" i="3"/>
  <c r="M312" i="3"/>
  <c r="L312" i="3"/>
  <c r="K312" i="3"/>
  <c r="B312" i="3"/>
  <c r="O311" i="3"/>
  <c r="N311" i="3"/>
  <c r="M311" i="3"/>
  <c r="L311" i="3"/>
  <c r="K311" i="3"/>
  <c r="B311" i="3"/>
  <c r="O310" i="3"/>
  <c r="N310" i="3"/>
  <c r="M310" i="3"/>
  <c r="L310" i="3"/>
  <c r="K310" i="3"/>
  <c r="B310" i="3"/>
  <c r="O309" i="3"/>
  <c r="N309" i="3"/>
  <c r="M309" i="3"/>
  <c r="L309" i="3"/>
  <c r="K309" i="3"/>
  <c r="B309" i="3"/>
  <c r="O308" i="3"/>
  <c r="N308" i="3"/>
  <c r="M308" i="3"/>
  <c r="L308" i="3"/>
  <c r="K308" i="3"/>
  <c r="B308" i="3"/>
  <c r="O307" i="3"/>
  <c r="N307" i="3"/>
  <c r="M307" i="3"/>
  <c r="L307" i="3"/>
  <c r="K307" i="3"/>
  <c r="B307" i="3"/>
  <c r="O306" i="3"/>
  <c r="N306" i="3"/>
  <c r="M306" i="3"/>
  <c r="L306" i="3"/>
  <c r="K306" i="3"/>
  <c r="B306" i="3"/>
  <c r="O305" i="3"/>
  <c r="N305" i="3"/>
  <c r="M305" i="3"/>
  <c r="L305" i="3"/>
  <c r="K305" i="3"/>
  <c r="B305" i="3"/>
  <c r="O304" i="3"/>
  <c r="N304" i="3"/>
  <c r="M304" i="3"/>
  <c r="L304" i="3"/>
  <c r="K304" i="3"/>
  <c r="B304" i="3"/>
  <c r="O303" i="3"/>
  <c r="N303" i="3"/>
  <c r="M303" i="3"/>
  <c r="L303" i="3"/>
  <c r="K303" i="3"/>
  <c r="B303" i="3"/>
  <c r="O302" i="3"/>
  <c r="N302" i="3"/>
  <c r="M302" i="3"/>
  <c r="L302" i="3"/>
  <c r="K302" i="3"/>
  <c r="B302" i="3"/>
  <c r="O301" i="3"/>
  <c r="N301" i="3"/>
  <c r="M301" i="3"/>
  <c r="L301" i="3"/>
  <c r="K301" i="3"/>
  <c r="B301" i="3"/>
  <c r="O300" i="3"/>
  <c r="N300" i="3"/>
  <c r="M300" i="3"/>
  <c r="L300" i="3"/>
  <c r="K300" i="3"/>
  <c r="B300" i="3"/>
  <c r="O299" i="3"/>
  <c r="N299" i="3"/>
  <c r="M299" i="3"/>
  <c r="L299" i="3"/>
  <c r="K299" i="3"/>
  <c r="B299" i="3"/>
  <c r="O298" i="3"/>
  <c r="N298" i="3"/>
  <c r="M298" i="3"/>
  <c r="L298" i="3"/>
  <c r="K298" i="3"/>
  <c r="B298" i="3"/>
  <c r="O297" i="3"/>
  <c r="N297" i="3"/>
  <c r="M297" i="3"/>
  <c r="L297" i="3"/>
  <c r="K297" i="3"/>
  <c r="B297" i="3"/>
  <c r="O296" i="3"/>
  <c r="N296" i="3"/>
  <c r="M296" i="3"/>
  <c r="L296" i="3"/>
  <c r="K296" i="3"/>
  <c r="B296" i="3"/>
  <c r="O295" i="3"/>
  <c r="N295" i="3"/>
  <c r="M295" i="3"/>
  <c r="L295" i="3"/>
  <c r="K295" i="3"/>
  <c r="B295" i="3"/>
  <c r="O294" i="3"/>
  <c r="N294" i="3"/>
  <c r="M294" i="3"/>
  <c r="L294" i="3"/>
  <c r="K294" i="3"/>
  <c r="B294" i="3"/>
  <c r="O293" i="3"/>
  <c r="N293" i="3"/>
  <c r="M293" i="3"/>
  <c r="L293" i="3"/>
  <c r="K293" i="3"/>
  <c r="B293" i="3"/>
  <c r="O292" i="3"/>
  <c r="N292" i="3"/>
  <c r="M292" i="3"/>
  <c r="L292" i="3"/>
  <c r="K292" i="3"/>
  <c r="B292" i="3"/>
  <c r="O291" i="3"/>
  <c r="N291" i="3"/>
  <c r="M291" i="3"/>
  <c r="L291" i="3"/>
  <c r="K291" i="3"/>
  <c r="B291" i="3"/>
  <c r="O290" i="3"/>
  <c r="N290" i="3"/>
  <c r="M290" i="3"/>
  <c r="L290" i="3"/>
  <c r="K290" i="3"/>
  <c r="B290" i="3"/>
  <c r="O289" i="3"/>
  <c r="N289" i="3"/>
  <c r="M289" i="3"/>
  <c r="L289" i="3"/>
  <c r="K289" i="3"/>
  <c r="B289" i="3"/>
  <c r="O288" i="3"/>
  <c r="N288" i="3"/>
  <c r="M288" i="3"/>
  <c r="L288" i="3"/>
  <c r="K288" i="3"/>
  <c r="B288" i="3"/>
  <c r="O287" i="3"/>
  <c r="N287" i="3"/>
  <c r="M287" i="3"/>
  <c r="L287" i="3"/>
  <c r="K287" i="3"/>
  <c r="B287" i="3"/>
  <c r="O286" i="3"/>
  <c r="N286" i="3"/>
  <c r="M286" i="3"/>
  <c r="L286" i="3"/>
  <c r="K286" i="3"/>
  <c r="B286" i="3"/>
  <c r="O285" i="3"/>
  <c r="N285" i="3"/>
  <c r="M285" i="3"/>
  <c r="L285" i="3"/>
  <c r="K285" i="3"/>
  <c r="B285" i="3"/>
  <c r="O284" i="3"/>
  <c r="N284" i="3"/>
  <c r="M284" i="3"/>
  <c r="L284" i="3"/>
  <c r="K284" i="3"/>
  <c r="B284" i="3"/>
  <c r="O283" i="3"/>
  <c r="N283" i="3"/>
  <c r="M283" i="3"/>
  <c r="L283" i="3"/>
  <c r="K283" i="3"/>
  <c r="B283" i="3"/>
  <c r="O282" i="3"/>
  <c r="N282" i="3"/>
  <c r="M282" i="3"/>
  <c r="L282" i="3"/>
  <c r="K282" i="3"/>
  <c r="B282" i="3"/>
  <c r="O281" i="3"/>
  <c r="N281" i="3"/>
  <c r="M281" i="3"/>
  <c r="L281" i="3"/>
  <c r="K281" i="3"/>
  <c r="B281" i="3"/>
  <c r="O280" i="3"/>
  <c r="N280" i="3"/>
  <c r="M280" i="3"/>
  <c r="L280" i="3"/>
  <c r="K280" i="3"/>
  <c r="B280" i="3"/>
  <c r="O279" i="3"/>
  <c r="N279" i="3"/>
  <c r="M279" i="3"/>
  <c r="L279" i="3"/>
  <c r="K279" i="3"/>
  <c r="B279" i="3"/>
  <c r="O278" i="3"/>
  <c r="N278" i="3"/>
  <c r="M278" i="3"/>
  <c r="L278" i="3"/>
  <c r="K278" i="3"/>
  <c r="B278" i="3"/>
  <c r="O277" i="3"/>
  <c r="N277" i="3"/>
  <c r="M277" i="3"/>
  <c r="L277" i="3"/>
  <c r="K277" i="3"/>
  <c r="B277" i="3"/>
  <c r="O276" i="3"/>
  <c r="N276" i="3"/>
  <c r="M276" i="3"/>
  <c r="L276" i="3"/>
  <c r="K276" i="3"/>
  <c r="B276" i="3"/>
  <c r="O275" i="3"/>
  <c r="N275" i="3"/>
  <c r="M275" i="3"/>
  <c r="L275" i="3"/>
  <c r="K275" i="3"/>
  <c r="B275" i="3"/>
  <c r="O274" i="3"/>
  <c r="N274" i="3"/>
  <c r="M274" i="3"/>
  <c r="L274" i="3"/>
  <c r="K274" i="3"/>
  <c r="B274" i="3"/>
  <c r="O273" i="3"/>
  <c r="N273" i="3"/>
  <c r="M273" i="3"/>
  <c r="L273" i="3"/>
  <c r="K273" i="3"/>
  <c r="B273" i="3"/>
  <c r="O272" i="3"/>
  <c r="N272" i="3"/>
  <c r="M272" i="3"/>
  <c r="L272" i="3"/>
  <c r="K272" i="3"/>
  <c r="B272" i="3"/>
  <c r="O271" i="3"/>
  <c r="N271" i="3"/>
  <c r="M271" i="3"/>
  <c r="L271" i="3"/>
  <c r="K271" i="3"/>
  <c r="B271" i="3"/>
  <c r="O270" i="3"/>
  <c r="N270" i="3"/>
  <c r="M270" i="3"/>
  <c r="L270" i="3"/>
  <c r="K270" i="3"/>
  <c r="B270" i="3"/>
  <c r="O269" i="3"/>
  <c r="N269" i="3"/>
  <c r="M269" i="3"/>
  <c r="L269" i="3"/>
  <c r="K269" i="3"/>
  <c r="B269" i="3"/>
  <c r="O268" i="3"/>
  <c r="N268" i="3"/>
  <c r="M268" i="3"/>
  <c r="L268" i="3"/>
  <c r="K268" i="3"/>
  <c r="B268" i="3"/>
  <c r="O267" i="3"/>
  <c r="N267" i="3"/>
  <c r="M267" i="3"/>
  <c r="L267" i="3"/>
  <c r="K267" i="3"/>
  <c r="B267" i="3"/>
  <c r="O266" i="3"/>
  <c r="N266" i="3"/>
  <c r="M266" i="3"/>
  <c r="L266" i="3"/>
  <c r="K266" i="3"/>
  <c r="B266" i="3"/>
  <c r="O265" i="3"/>
  <c r="N265" i="3"/>
  <c r="M265" i="3"/>
  <c r="L265" i="3"/>
  <c r="K265" i="3"/>
  <c r="B265" i="3"/>
  <c r="O264" i="3"/>
  <c r="N264" i="3"/>
  <c r="M264" i="3"/>
  <c r="L264" i="3"/>
  <c r="K264" i="3"/>
  <c r="B264" i="3"/>
  <c r="O263" i="3"/>
  <c r="N263" i="3"/>
  <c r="M263" i="3"/>
  <c r="L263" i="3"/>
  <c r="K263" i="3"/>
  <c r="B263" i="3"/>
  <c r="O262" i="3"/>
  <c r="N262" i="3"/>
  <c r="M262" i="3"/>
  <c r="L262" i="3"/>
  <c r="K262" i="3"/>
  <c r="B262" i="3"/>
  <c r="O261" i="3"/>
  <c r="N261" i="3"/>
  <c r="M261" i="3"/>
  <c r="L261" i="3"/>
  <c r="K261" i="3"/>
  <c r="B261" i="3"/>
  <c r="O260" i="3"/>
  <c r="N260" i="3"/>
  <c r="M260" i="3"/>
  <c r="L260" i="3"/>
  <c r="K260" i="3"/>
  <c r="B260" i="3"/>
  <c r="O259" i="3"/>
  <c r="N259" i="3"/>
  <c r="M259" i="3"/>
  <c r="L259" i="3"/>
  <c r="K259" i="3"/>
  <c r="B259" i="3"/>
  <c r="O258" i="3"/>
  <c r="N258" i="3"/>
  <c r="M258" i="3"/>
  <c r="L258" i="3"/>
  <c r="K258" i="3"/>
  <c r="B258" i="3"/>
  <c r="O257" i="3"/>
  <c r="N257" i="3"/>
  <c r="M257" i="3"/>
  <c r="L257" i="3"/>
  <c r="K257" i="3"/>
  <c r="B257" i="3"/>
  <c r="O256" i="3"/>
  <c r="N256" i="3"/>
  <c r="M256" i="3"/>
  <c r="L256" i="3"/>
  <c r="K256" i="3"/>
  <c r="B256" i="3"/>
  <c r="O255" i="3"/>
  <c r="N255" i="3"/>
  <c r="M255" i="3"/>
  <c r="L255" i="3"/>
  <c r="K255" i="3"/>
  <c r="B255" i="3"/>
  <c r="O254" i="3"/>
  <c r="N254" i="3"/>
  <c r="M254" i="3"/>
  <c r="L254" i="3"/>
  <c r="K254" i="3"/>
  <c r="B254" i="3"/>
  <c r="O253" i="3"/>
  <c r="N253" i="3"/>
  <c r="M253" i="3"/>
  <c r="L253" i="3"/>
  <c r="K253" i="3"/>
  <c r="B253" i="3"/>
  <c r="O252" i="3"/>
  <c r="N252" i="3"/>
  <c r="M252" i="3"/>
  <c r="L252" i="3"/>
  <c r="K252" i="3"/>
  <c r="B252" i="3"/>
  <c r="O251" i="3"/>
  <c r="N251" i="3"/>
  <c r="M251" i="3"/>
  <c r="L251" i="3"/>
  <c r="K251" i="3"/>
  <c r="B251" i="3"/>
  <c r="O250" i="3"/>
  <c r="N250" i="3"/>
  <c r="M250" i="3"/>
  <c r="L250" i="3"/>
  <c r="K250" i="3"/>
  <c r="B250" i="3"/>
  <c r="O249" i="3"/>
  <c r="N249" i="3"/>
  <c r="M249" i="3"/>
  <c r="L249" i="3"/>
  <c r="K249" i="3"/>
  <c r="B249" i="3"/>
  <c r="O248" i="3"/>
  <c r="N248" i="3"/>
  <c r="M248" i="3"/>
  <c r="L248" i="3"/>
  <c r="K248" i="3"/>
  <c r="B248" i="3"/>
  <c r="O247" i="3"/>
  <c r="N247" i="3"/>
  <c r="M247" i="3"/>
  <c r="L247" i="3"/>
  <c r="K247" i="3"/>
  <c r="B247" i="3"/>
  <c r="O246" i="3"/>
  <c r="N246" i="3"/>
  <c r="M246" i="3"/>
  <c r="L246" i="3"/>
  <c r="K246" i="3"/>
  <c r="B246" i="3"/>
  <c r="O245" i="3"/>
  <c r="N245" i="3"/>
  <c r="M245" i="3"/>
  <c r="L245" i="3"/>
  <c r="K245" i="3"/>
  <c r="B245" i="3"/>
  <c r="O244" i="3"/>
  <c r="N244" i="3"/>
  <c r="M244" i="3"/>
  <c r="L244" i="3"/>
  <c r="K244" i="3"/>
  <c r="B244" i="3"/>
  <c r="O243" i="3"/>
  <c r="N243" i="3"/>
  <c r="M243" i="3"/>
  <c r="L243" i="3"/>
  <c r="K243" i="3"/>
  <c r="B243" i="3"/>
  <c r="O242" i="3"/>
  <c r="N242" i="3"/>
  <c r="M242" i="3"/>
  <c r="L242" i="3"/>
  <c r="K242" i="3"/>
  <c r="B242" i="3"/>
  <c r="O241" i="3"/>
  <c r="N241" i="3"/>
  <c r="M241" i="3"/>
  <c r="L241" i="3"/>
  <c r="K241" i="3"/>
  <c r="B241" i="3"/>
  <c r="O240" i="3"/>
  <c r="N240" i="3"/>
  <c r="M240" i="3"/>
  <c r="L240" i="3"/>
  <c r="K240" i="3"/>
  <c r="B240" i="3"/>
  <c r="O239" i="3"/>
  <c r="N239" i="3"/>
  <c r="M239" i="3"/>
  <c r="L239" i="3"/>
  <c r="K239" i="3"/>
  <c r="B239" i="3"/>
  <c r="O238" i="3"/>
  <c r="N238" i="3"/>
  <c r="M238" i="3"/>
  <c r="L238" i="3"/>
  <c r="K238" i="3"/>
  <c r="B238" i="3"/>
  <c r="O237" i="3"/>
  <c r="N237" i="3"/>
  <c r="M237" i="3"/>
  <c r="L237" i="3"/>
  <c r="K237" i="3"/>
  <c r="B237" i="3"/>
  <c r="O236" i="3"/>
  <c r="N236" i="3"/>
  <c r="M236" i="3"/>
  <c r="L236" i="3"/>
  <c r="K236" i="3"/>
  <c r="B236" i="3"/>
  <c r="O235" i="3"/>
  <c r="N235" i="3"/>
  <c r="M235" i="3"/>
  <c r="L235" i="3"/>
  <c r="K235" i="3"/>
  <c r="B235" i="3"/>
  <c r="O234" i="3"/>
  <c r="N234" i="3"/>
  <c r="M234" i="3"/>
  <c r="L234" i="3"/>
  <c r="K234" i="3"/>
  <c r="B234" i="3"/>
  <c r="O233" i="3"/>
  <c r="N233" i="3"/>
  <c r="M233" i="3"/>
  <c r="L233" i="3"/>
  <c r="K233" i="3"/>
  <c r="B233" i="3"/>
  <c r="O232" i="3"/>
  <c r="N232" i="3"/>
  <c r="M232" i="3"/>
  <c r="L232" i="3"/>
  <c r="K232" i="3"/>
  <c r="B232" i="3"/>
  <c r="O231" i="3"/>
  <c r="N231" i="3"/>
  <c r="M231" i="3"/>
  <c r="L231" i="3"/>
  <c r="K231" i="3"/>
  <c r="B231" i="3"/>
  <c r="O230" i="3"/>
  <c r="N230" i="3"/>
  <c r="M230" i="3"/>
  <c r="L230" i="3"/>
  <c r="K230" i="3"/>
  <c r="B230" i="3"/>
  <c r="O229" i="3"/>
  <c r="N229" i="3"/>
  <c r="M229" i="3"/>
  <c r="L229" i="3"/>
  <c r="K229" i="3"/>
  <c r="B229" i="3"/>
  <c r="O228" i="3"/>
  <c r="N228" i="3"/>
  <c r="M228" i="3"/>
  <c r="L228" i="3"/>
  <c r="K228" i="3"/>
  <c r="B228" i="3"/>
  <c r="O227" i="3"/>
  <c r="N227" i="3"/>
  <c r="M227" i="3"/>
  <c r="L227" i="3"/>
  <c r="K227" i="3"/>
  <c r="B227" i="3"/>
  <c r="O226" i="3"/>
  <c r="N226" i="3"/>
  <c r="M226" i="3"/>
  <c r="L226" i="3"/>
  <c r="K226" i="3"/>
  <c r="B226" i="3"/>
  <c r="O225" i="3"/>
  <c r="N225" i="3"/>
  <c r="M225" i="3"/>
  <c r="L225" i="3"/>
  <c r="K225" i="3"/>
  <c r="B225" i="3"/>
  <c r="O224" i="3"/>
  <c r="N224" i="3"/>
  <c r="M224" i="3"/>
  <c r="L224" i="3"/>
  <c r="K224" i="3"/>
  <c r="B224" i="3"/>
  <c r="O223" i="3"/>
  <c r="N223" i="3"/>
  <c r="M223" i="3"/>
  <c r="L223" i="3"/>
  <c r="K223" i="3"/>
  <c r="B223" i="3"/>
  <c r="O222" i="3"/>
  <c r="N222" i="3"/>
  <c r="M222" i="3"/>
  <c r="L222" i="3"/>
  <c r="K222" i="3"/>
  <c r="B222" i="3"/>
  <c r="O221" i="3"/>
  <c r="N221" i="3"/>
  <c r="M221" i="3"/>
  <c r="L221" i="3"/>
  <c r="K221" i="3"/>
  <c r="B221" i="3"/>
  <c r="O220" i="3"/>
  <c r="N220" i="3"/>
  <c r="M220" i="3"/>
  <c r="L220" i="3"/>
  <c r="K220" i="3"/>
  <c r="B220" i="3"/>
  <c r="O219" i="3"/>
  <c r="N219" i="3"/>
  <c r="M219" i="3"/>
  <c r="L219" i="3"/>
  <c r="K219" i="3"/>
  <c r="B219" i="3"/>
  <c r="O218" i="3"/>
  <c r="N218" i="3"/>
  <c r="M218" i="3"/>
  <c r="L218" i="3"/>
  <c r="K218" i="3"/>
  <c r="B218" i="3"/>
  <c r="O217" i="3"/>
  <c r="N217" i="3"/>
  <c r="M217" i="3"/>
  <c r="L217" i="3"/>
  <c r="K217" i="3"/>
  <c r="B217" i="3"/>
  <c r="O216" i="3"/>
  <c r="N216" i="3"/>
  <c r="M216" i="3"/>
  <c r="L216" i="3"/>
  <c r="K216" i="3"/>
  <c r="B216" i="3"/>
  <c r="O215" i="3"/>
  <c r="N215" i="3"/>
  <c r="M215" i="3"/>
  <c r="L215" i="3"/>
  <c r="K215" i="3"/>
  <c r="B215" i="3"/>
  <c r="O214" i="3"/>
  <c r="N214" i="3"/>
  <c r="M214" i="3"/>
  <c r="L214" i="3"/>
  <c r="K214" i="3"/>
  <c r="B214" i="3"/>
  <c r="O213" i="3"/>
  <c r="N213" i="3"/>
  <c r="M213" i="3"/>
  <c r="L213" i="3"/>
  <c r="K213" i="3"/>
  <c r="B213" i="3"/>
  <c r="O212" i="3"/>
  <c r="N212" i="3"/>
  <c r="M212" i="3"/>
  <c r="L212" i="3"/>
  <c r="K212" i="3"/>
  <c r="B212" i="3"/>
  <c r="O211" i="3"/>
  <c r="N211" i="3"/>
  <c r="M211" i="3"/>
  <c r="L211" i="3"/>
  <c r="K211" i="3"/>
  <c r="B211" i="3"/>
  <c r="O210" i="3"/>
  <c r="N210" i="3"/>
  <c r="M210" i="3"/>
  <c r="L210" i="3"/>
  <c r="K210" i="3"/>
  <c r="B210" i="3"/>
  <c r="O209" i="3"/>
  <c r="N209" i="3"/>
  <c r="M209" i="3"/>
  <c r="L209" i="3"/>
  <c r="K209" i="3"/>
  <c r="B209" i="3"/>
  <c r="O208" i="3"/>
  <c r="N208" i="3"/>
  <c r="M208" i="3"/>
  <c r="L208" i="3"/>
  <c r="K208" i="3"/>
  <c r="B208" i="3"/>
  <c r="O207" i="3"/>
  <c r="N207" i="3"/>
  <c r="M207" i="3"/>
  <c r="L207" i="3"/>
  <c r="K207" i="3"/>
  <c r="B207" i="3"/>
  <c r="O206" i="3"/>
  <c r="N206" i="3"/>
  <c r="M206" i="3"/>
  <c r="L206" i="3"/>
  <c r="K206" i="3"/>
  <c r="B206" i="3"/>
  <c r="O205" i="3"/>
  <c r="N205" i="3"/>
  <c r="M205" i="3"/>
  <c r="L205" i="3"/>
  <c r="K205" i="3"/>
  <c r="B205" i="3"/>
  <c r="O204" i="3"/>
  <c r="N204" i="3"/>
  <c r="M204" i="3"/>
  <c r="L204" i="3"/>
  <c r="K204" i="3"/>
  <c r="B204" i="3"/>
  <c r="O203" i="3"/>
  <c r="N203" i="3"/>
  <c r="M203" i="3"/>
  <c r="L203" i="3"/>
  <c r="K203" i="3"/>
  <c r="B203" i="3"/>
  <c r="O202" i="3"/>
  <c r="N202" i="3"/>
  <c r="M202" i="3"/>
  <c r="L202" i="3"/>
  <c r="K202" i="3"/>
  <c r="B202" i="3"/>
  <c r="O201" i="3"/>
  <c r="N201" i="3"/>
  <c r="M201" i="3"/>
  <c r="L201" i="3"/>
  <c r="K201" i="3"/>
  <c r="B201" i="3"/>
  <c r="O200" i="3"/>
  <c r="N200" i="3"/>
  <c r="M200" i="3"/>
  <c r="L200" i="3"/>
  <c r="K200" i="3"/>
  <c r="B200" i="3"/>
  <c r="O199" i="3"/>
  <c r="N199" i="3"/>
  <c r="M199" i="3"/>
  <c r="L199" i="3"/>
  <c r="K199" i="3"/>
  <c r="B199" i="3"/>
  <c r="O198" i="3"/>
  <c r="N198" i="3"/>
  <c r="M198" i="3"/>
  <c r="L198" i="3"/>
  <c r="K198" i="3"/>
  <c r="B198" i="3"/>
  <c r="O197" i="3"/>
  <c r="N197" i="3"/>
  <c r="M197" i="3"/>
  <c r="L197" i="3"/>
  <c r="K197" i="3"/>
  <c r="B197" i="3"/>
  <c r="O196" i="3"/>
  <c r="N196" i="3"/>
  <c r="M196" i="3"/>
  <c r="L196" i="3"/>
  <c r="K196" i="3"/>
  <c r="B196" i="3"/>
  <c r="O195" i="3"/>
  <c r="N195" i="3"/>
  <c r="M195" i="3"/>
  <c r="L195" i="3"/>
  <c r="K195" i="3"/>
  <c r="B195" i="3"/>
  <c r="O194" i="3"/>
  <c r="N194" i="3"/>
  <c r="M194" i="3"/>
  <c r="L194" i="3"/>
  <c r="K194" i="3"/>
  <c r="B194" i="3"/>
  <c r="O193" i="3"/>
  <c r="N193" i="3"/>
  <c r="M193" i="3"/>
  <c r="L193" i="3"/>
  <c r="K193" i="3"/>
  <c r="B193" i="3"/>
  <c r="O192" i="3"/>
  <c r="N192" i="3"/>
  <c r="M192" i="3"/>
  <c r="L192" i="3"/>
  <c r="K192" i="3"/>
  <c r="B192" i="3"/>
  <c r="O191" i="3"/>
  <c r="N191" i="3"/>
  <c r="M191" i="3"/>
  <c r="L191" i="3"/>
  <c r="K191" i="3"/>
  <c r="B191" i="3"/>
  <c r="O190" i="3"/>
  <c r="N190" i="3"/>
  <c r="M190" i="3"/>
  <c r="L190" i="3"/>
  <c r="K190" i="3"/>
  <c r="B190" i="3"/>
  <c r="O189" i="3"/>
  <c r="N189" i="3"/>
  <c r="M189" i="3"/>
  <c r="L189" i="3"/>
  <c r="K189" i="3"/>
  <c r="B189" i="3"/>
  <c r="O188" i="3"/>
  <c r="N188" i="3"/>
  <c r="M188" i="3"/>
  <c r="L188" i="3"/>
  <c r="K188" i="3"/>
  <c r="B188" i="3"/>
  <c r="O187" i="3"/>
  <c r="N187" i="3"/>
  <c r="M187" i="3"/>
  <c r="L187" i="3"/>
  <c r="K187" i="3"/>
  <c r="B187" i="3"/>
  <c r="O186" i="3"/>
  <c r="N186" i="3"/>
  <c r="M186" i="3"/>
  <c r="L186" i="3"/>
  <c r="K186" i="3"/>
  <c r="B186" i="3"/>
  <c r="O185" i="3"/>
  <c r="N185" i="3"/>
  <c r="M185" i="3"/>
  <c r="L185" i="3"/>
  <c r="K185" i="3"/>
  <c r="B185" i="3"/>
  <c r="O184" i="3"/>
  <c r="N184" i="3"/>
  <c r="M184" i="3"/>
  <c r="L184" i="3"/>
  <c r="K184" i="3"/>
  <c r="B184" i="3"/>
  <c r="O183" i="3"/>
  <c r="N183" i="3"/>
  <c r="M183" i="3"/>
  <c r="L183" i="3"/>
  <c r="K183" i="3"/>
  <c r="B183" i="3"/>
  <c r="O182" i="3"/>
  <c r="N182" i="3"/>
  <c r="M182" i="3"/>
  <c r="L182" i="3"/>
  <c r="K182" i="3"/>
  <c r="B182" i="3"/>
  <c r="O181" i="3"/>
  <c r="N181" i="3"/>
  <c r="M181" i="3"/>
  <c r="L181" i="3"/>
  <c r="K181" i="3"/>
  <c r="B181" i="3"/>
  <c r="O180" i="3"/>
  <c r="N180" i="3"/>
  <c r="M180" i="3"/>
  <c r="L180" i="3"/>
  <c r="K180" i="3"/>
  <c r="B180" i="3"/>
  <c r="O179" i="3"/>
  <c r="N179" i="3"/>
  <c r="M179" i="3"/>
  <c r="L179" i="3"/>
  <c r="K179" i="3"/>
  <c r="B179" i="3"/>
  <c r="O178" i="3"/>
  <c r="N178" i="3"/>
  <c r="M178" i="3"/>
  <c r="L178" i="3"/>
  <c r="K178" i="3"/>
  <c r="B178" i="3"/>
  <c r="O177" i="3"/>
  <c r="N177" i="3"/>
  <c r="M177" i="3"/>
  <c r="L177" i="3"/>
  <c r="K177" i="3"/>
  <c r="B177" i="3"/>
  <c r="O176" i="3"/>
  <c r="N176" i="3"/>
  <c r="M176" i="3"/>
  <c r="L176" i="3"/>
  <c r="K176" i="3"/>
  <c r="B176" i="3"/>
  <c r="O175" i="3"/>
  <c r="N175" i="3"/>
  <c r="M175" i="3"/>
  <c r="L175" i="3"/>
  <c r="K175" i="3"/>
  <c r="B175" i="3"/>
  <c r="O174" i="3"/>
  <c r="N174" i="3"/>
  <c r="M174" i="3"/>
  <c r="L174" i="3"/>
  <c r="K174" i="3"/>
  <c r="B174" i="3"/>
  <c r="O173" i="3"/>
  <c r="N173" i="3"/>
  <c r="M173" i="3"/>
  <c r="L173" i="3"/>
  <c r="K173" i="3"/>
  <c r="B173" i="3"/>
  <c r="O172" i="3"/>
  <c r="N172" i="3"/>
  <c r="M172" i="3"/>
  <c r="L172" i="3"/>
  <c r="K172" i="3"/>
  <c r="B172" i="3"/>
  <c r="O171" i="3"/>
  <c r="N171" i="3"/>
  <c r="M171" i="3"/>
  <c r="L171" i="3"/>
  <c r="K171" i="3"/>
  <c r="B171" i="3"/>
  <c r="O170" i="3"/>
  <c r="N170" i="3"/>
  <c r="M170" i="3"/>
  <c r="L170" i="3"/>
  <c r="K170" i="3"/>
  <c r="B170" i="3"/>
  <c r="O169" i="3"/>
  <c r="N169" i="3"/>
  <c r="M169" i="3"/>
  <c r="L169" i="3"/>
  <c r="K169" i="3"/>
  <c r="B169" i="3"/>
  <c r="O168" i="3"/>
  <c r="N168" i="3"/>
  <c r="M168" i="3"/>
  <c r="L168" i="3"/>
  <c r="K168" i="3"/>
  <c r="B168" i="3"/>
  <c r="O167" i="3"/>
  <c r="N167" i="3"/>
  <c r="M167" i="3"/>
  <c r="L167" i="3"/>
  <c r="K167" i="3"/>
  <c r="B167" i="3"/>
  <c r="O166" i="3"/>
  <c r="N166" i="3"/>
  <c r="M166" i="3"/>
  <c r="L166" i="3"/>
  <c r="K166" i="3"/>
  <c r="B166" i="3"/>
  <c r="O165" i="3"/>
  <c r="N165" i="3"/>
  <c r="M165" i="3"/>
  <c r="L165" i="3"/>
  <c r="K165" i="3"/>
  <c r="B165" i="3"/>
  <c r="O164" i="3"/>
  <c r="N164" i="3"/>
  <c r="M164" i="3"/>
  <c r="L164" i="3"/>
  <c r="K164" i="3"/>
  <c r="B164" i="3"/>
  <c r="O163" i="3"/>
  <c r="N163" i="3"/>
  <c r="M163" i="3"/>
  <c r="L163" i="3"/>
  <c r="K163" i="3"/>
  <c r="B163" i="3"/>
  <c r="O162" i="3"/>
  <c r="N162" i="3"/>
  <c r="M162" i="3"/>
  <c r="L162" i="3"/>
  <c r="K162" i="3"/>
  <c r="B162" i="3"/>
  <c r="O161" i="3"/>
  <c r="N161" i="3"/>
  <c r="M161" i="3"/>
  <c r="L161" i="3"/>
  <c r="K161" i="3"/>
  <c r="B161" i="3"/>
  <c r="O160" i="3"/>
  <c r="N160" i="3"/>
  <c r="M160" i="3"/>
  <c r="L160" i="3"/>
  <c r="K160" i="3"/>
  <c r="B160" i="3"/>
  <c r="O159" i="3"/>
  <c r="N159" i="3"/>
  <c r="M159" i="3"/>
  <c r="L159" i="3"/>
  <c r="K159" i="3"/>
  <c r="B159" i="3"/>
  <c r="O158" i="3"/>
  <c r="N158" i="3"/>
  <c r="M158" i="3"/>
  <c r="L158" i="3"/>
  <c r="K158" i="3"/>
  <c r="B158" i="3"/>
  <c r="O157" i="3"/>
  <c r="N157" i="3"/>
  <c r="M157" i="3"/>
  <c r="L157" i="3"/>
  <c r="K157" i="3"/>
  <c r="B157" i="3"/>
  <c r="O156" i="3"/>
  <c r="N156" i="3"/>
  <c r="M156" i="3"/>
  <c r="L156" i="3"/>
  <c r="K156" i="3"/>
  <c r="B156" i="3"/>
  <c r="O155" i="3"/>
  <c r="N155" i="3"/>
  <c r="M155" i="3"/>
  <c r="L155" i="3"/>
  <c r="K155" i="3"/>
  <c r="B155" i="3"/>
  <c r="O154" i="3"/>
  <c r="N154" i="3"/>
  <c r="M154" i="3"/>
  <c r="L154" i="3"/>
  <c r="K154" i="3"/>
  <c r="B154" i="3"/>
  <c r="O153" i="3"/>
  <c r="N153" i="3"/>
  <c r="M153" i="3"/>
  <c r="L153" i="3"/>
  <c r="K153" i="3"/>
  <c r="B153" i="3"/>
  <c r="O152" i="3"/>
  <c r="N152" i="3"/>
  <c r="M152" i="3"/>
  <c r="L152" i="3"/>
  <c r="K152" i="3"/>
  <c r="B152" i="3"/>
  <c r="O151" i="3"/>
  <c r="N151" i="3"/>
  <c r="M151" i="3"/>
  <c r="L151" i="3"/>
  <c r="K151" i="3"/>
  <c r="B151" i="3"/>
  <c r="O150" i="3"/>
  <c r="N150" i="3"/>
  <c r="M150" i="3"/>
  <c r="L150" i="3"/>
  <c r="K150" i="3"/>
  <c r="B150" i="3"/>
  <c r="O149" i="3"/>
  <c r="N149" i="3"/>
  <c r="M149" i="3"/>
  <c r="L149" i="3"/>
  <c r="K149" i="3"/>
  <c r="B149" i="3"/>
  <c r="O148" i="3"/>
  <c r="N148" i="3"/>
  <c r="M148" i="3"/>
  <c r="L148" i="3"/>
  <c r="K148" i="3"/>
  <c r="B148" i="3"/>
  <c r="O147" i="3"/>
  <c r="N147" i="3"/>
  <c r="M147" i="3"/>
  <c r="L147" i="3"/>
  <c r="K147" i="3"/>
  <c r="B147" i="3"/>
  <c r="O146" i="3"/>
  <c r="N146" i="3"/>
  <c r="M146" i="3"/>
  <c r="L146" i="3"/>
  <c r="K146" i="3"/>
  <c r="B146" i="3"/>
  <c r="O145" i="3"/>
  <c r="N145" i="3"/>
  <c r="M145" i="3"/>
  <c r="L145" i="3"/>
  <c r="K145" i="3"/>
  <c r="B145" i="3"/>
  <c r="O144" i="3"/>
  <c r="N144" i="3"/>
  <c r="M144" i="3"/>
  <c r="L144" i="3"/>
  <c r="K144" i="3"/>
  <c r="B144" i="3"/>
  <c r="O143" i="3"/>
  <c r="N143" i="3"/>
  <c r="M143" i="3"/>
  <c r="L143" i="3"/>
  <c r="K143" i="3"/>
  <c r="B143" i="3"/>
  <c r="O142" i="3"/>
  <c r="N142" i="3"/>
  <c r="M142" i="3"/>
  <c r="L142" i="3"/>
  <c r="K142" i="3"/>
  <c r="B142" i="3"/>
  <c r="O141" i="3"/>
  <c r="N141" i="3"/>
  <c r="M141" i="3"/>
  <c r="L141" i="3"/>
  <c r="K141" i="3"/>
  <c r="B141" i="3"/>
  <c r="O140" i="3"/>
  <c r="N140" i="3"/>
  <c r="M140" i="3"/>
  <c r="L140" i="3"/>
  <c r="K140" i="3"/>
  <c r="B140" i="3"/>
  <c r="O139" i="3"/>
  <c r="N139" i="3"/>
  <c r="M139" i="3"/>
  <c r="L139" i="3"/>
  <c r="K139" i="3"/>
  <c r="B139" i="3"/>
  <c r="O138" i="3"/>
  <c r="N138" i="3"/>
  <c r="M138" i="3"/>
  <c r="L138" i="3"/>
  <c r="K138" i="3"/>
  <c r="B138" i="3"/>
  <c r="O137" i="3"/>
  <c r="N137" i="3"/>
  <c r="M137" i="3"/>
  <c r="L137" i="3"/>
  <c r="K137" i="3"/>
  <c r="B137" i="3"/>
  <c r="O136" i="3"/>
  <c r="N136" i="3"/>
  <c r="M136" i="3"/>
  <c r="L136" i="3"/>
  <c r="K136" i="3"/>
  <c r="B136" i="3"/>
  <c r="O135" i="3"/>
  <c r="N135" i="3"/>
  <c r="M135" i="3"/>
  <c r="L135" i="3"/>
  <c r="K135" i="3"/>
  <c r="B135" i="3"/>
  <c r="O134" i="3"/>
  <c r="N134" i="3"/>
  <c r="M134" i="3"/>
  <c r="L134" i="3"/>
  <c r="K134" i="3"/>
  <c r="B134" i="3"/>
  <c r="O133" i="3"/>
  <c r="N133" i="3"/>
  <c r="M133" i="3"/>
  <c r="L133" i="3"/>
  <c r="K133" i="3"/>
  <c r="B133" i="3"/>
  <c r="O132" i="3"/>
  <c r="N132" i="3"/>
  <c r="M132" i="3"/>
  <c r="L132" i="3"/>
  <c r="K132" i="3"/>
  <c r="B132" i="3"/>
  <c r="O131" i="3"/>
  <c r="N131" i="3"/>
  <c r="M131" i="3"/>
  <c r="L131" i="3"/>
  <c r="K131" i="3"/>
  <c r="B131" i="3"/>
  <c r="O130" i="3"/>
  <c r="N130" i="3"/>
  <c r="M130" i="3"/>
  <c r="L130" i="3"/>
  <c r="K130" i="3"/>
  <c r="B130" i="3"/>
  <c r="O129" i="3"/>
  <c r="N129" i="3"/>
  <c r="M129" i="3"/>
  <c r="L129" i="3"/>
  <c r="K129" i="3"/>
  <c r="B129" i="3"/>
  <c r="O128" i="3"/>
  <c r="N128" i="3"/>
  <c r="M128" i="3"/>
  <c r="L128" i="3"/>
  <c r="K128" i="3"/>
  <c r="B128" i="3"/>
  <c r="O127" i="3"/>
  <c r="N127" i="3"/>
  <c r="M127" i="3"/>
  <c r="L127" i="3"/>
  <c r="K127" i="3"/>
  <c r="B127" i="3"/>
  <c r="O126" i="3"/>
  <c r="N126" i="3"/>
  <c r="M126" i="3"/>
  <c r="L126" i="3"/>
  <c r="K126" i="3"/>
  <c r="B126" i="3"/>
  <c r="O125" i="3"/>
  <c r="N125" i="3"/>
  <c r="M125" i="3"/>
  <c r="L125" i="3"/>
  <c r="K125" i="3"/>
  <c r="B125" i="3"/>
  <c r="O124" i="3"/>
  <c r="N124" i="3"/>
  <c r="M124" i="3"/>
  <c r="L124" i="3"/>
  <c r="K124" i="3"/>
  <c r="B124" i="3"/>
  <c r="O123" i="3"/>
  <c r="N123" i="3"/>
  <c r="M123" i="3"/>
  <c r="L123" i="3"/>
  <c r="K123" i="3"/>
  <c r="B123" i="3"/>
  <c r="O122" i="3"/>
  <c r="N122" i="3"/>
  <c r="M122" i="3"/>
  <c r="L122" i="3"/>
  <c r="K122" i="3"/>
  <c r="B122" i="3"/>
  <c r="O121" i="3"/>
  <c r="N121" i="3"/>
  <c r="M121" i="3"/>
  <c r="L121" i="3"/>
  <c r="K121" i="3"/>
  <c r="B121" i="3"/>
  <c r="O120" i="3"/>
  <c r="N120" i="3"/>
  <c r="M120" i="3"/>
  <c r="L120" i="3"/>
  <c r="K120" i="3"/>
  <c r="B120" i="3"/>
  <c r="O119" i="3"/>
  <c r="N119" i="3"/>
  <c r="M119" i="3"/>
  <c r="L119" i="3"/>
  <c r="K119" i="3"/>
  <c r="B119" i="3"/>
  <c r="O118" i="3"/>
  <c r="N118" i="3"/>
  <c r="M118" i="3"/>
  <c r="L118" i="3"/>
  <c r="K118" i="3"/>
  <c r="B118" i="3"/>
  <c r="O117" i="3"/>
  <c r="N117" i="3"/>
  <c r="M117" i="3"/>
  <c r="L117" i="3"/>
  <c r="K117" i="3"/>
  <c r="B117" i="3"/>
  <c r="O116" i="3"/>
  <c r="N116" i="3"/>
  <c r="M116" i="3"/>
  <c r="L116" i="3"/>
  <c r="K116" i="3"/>
  <c r="B116" i="3"/>
  <c r="O115" i="3"/>
  <c r="N115" i="3"/>
  <c r="M115" i="3"/>
  <c r="L115" i="3"/>
  <c r="K115" i="3"/>
  <c r="B115" i="3"/>
  <c r="O114" i="3"/>
  <c r="N114" i="3"/>
  <c r="M114" i="3"/>
  <c r="L114" i="3"/>
  <c r="K114" i="3"/>
  <c r="B114" i="3"/>
  <c r="O113" i="3"/>
  <c r="N113" i="3"/>
  <c r="M113" i="3"/>
  <c r="L113" i="3"/>
  <c r="K113" i="3"/>
  <c r="B113" i="3"/>
  <c r="O112" i="3"/>
  <c r="N112" i="3"/>
  <c r="M112" i="3"/>
  <c r="L112" i="3"/>
  <c r="K112" i="3"/>
  <c r="B112" i="3"/>
  <c r="O111" i="3"/>
  <c r="N111" i="3"/>
  <c r="M111" i="3"/>
  <c r="L111" i="3"/>
  <c r="K111" i="3"/>
  <c r="B111" i="3"/>
  <c r="O110" i="3"/>
  <c r="N110" i="3"/>
  <c r="M110" i="3"/>
  <c r="L110" i="3"/>
  <c r="K110" i="3"/>
  <c r="B110" i="3"/>
  <c r="O109" i="3"/>
  <c r="N109" i="3"/>
  <c r="M109" i="3"/>
  <c r="L109" i="3"/>
  <c r="K109" i="3"/>
  <c r="B109" i="3"/>
  <c r="O108" i="3"/>
  <c r="N108" i="3"/>
  <c r="M108" i="3"/>
  <c r="L108" i="3"/>
  <c r="K108" i="3"/>
  <c r="B108" i="3"/>
  <c r="O107" i="3"/>
  <c r="N107" i="3"/>
  <c r="M107" i="3"/>
  <c r="L107" i="3"/>
  <c r="K107" i="3"/>
  <c r="B107" i="3"/>
  <c r="O106" i="3"/>
  <c r="N106" i="3"/>
  <c r="M106" i="3"/>
  <c r="L106" i="3"/>
  <c r="K106" i="3"/>
  <c r="B106" i="3"/>
  <c r="O105" i="3"/>
  <c r="N105" i="3"/>
  <c r="M105" i="3"/>
  <c r="L105" i="3"/>
  <c r="K105" i="3"/>
  <c r="B105" i="3"/>
  <c r="O104" i="3"/>
  <c r="N104" i="3"/>
  <c r="M104" i="3"/>
  <c r="L104" i="3"/>
  <c r="K104" i="3"/>
  <c r="B104" i="3"/>
  <c r="O103" i="3"/>
  <c r="N103" i="3"/>
  <c r="M103" i="3"/>
  <c r="L103" i="3"/>
  <c r="K103" i="3"/>
  <c r="B103" i="3"/>
  <c r="O102" i="3"/>
  <c r="N102" i="3"/>
  <c r="M102" i="3"/>
  <c r="L102" i="3"/>
  <c r="K102" i="3"/>
  <c r="B102" i="3"/>
  <c r="O101" i="3"/>
  <c r="N101" i="3"/>
  <c r="M101" i="3"/>
  <c r="L101" i="3"/>
  <c r="K101" i="3"/>
  <c r="B101" i="3"/>
  <c r="O100" i="3"/>
  <c r="N100" i="3"/>
  <c r="M100" i="3"/>
  <c r="L100" i="3"/>
  <c r="K100" i="3"/>
  <c r="B100" i="3"/>
  <c r="O99" i="3"/>
  <c r="N99" i="3"/>
  <c r="M99" i="3"/>
  <c r="L99" i="3"/>
  <c r="K99" i="3"/>
  <c r="B99" i="3"/>
  <c r="O98" i="3"/>
  <c r="N98" i="3"/>
  <c r="M98" i="3"/>
  <c r="L98" i="3"/>
  <c r="K98" i="3"/>
  <c r="B98" i="3"/>
  <c r="O97" i="3"/>
  <c r="N97" i="3"/>
  <c r="M97" i="3"/>
  <c r="L97" i="3"/>
  <c r="K97" i="3"/>
  <c r="B97" i="3"/>
  <c r="O96" i="3"/>
  <c r="N96" i="3"/>
  <c r="M96" i="3"/>
  <c r="L96" i="3"/>
  <c r="K96" i="3"/>
  <c r="B96" i="3"/>
  <c r="O95" i="3"/>
  <c r="N95" i="3"/>
  <c r="M95" i="3"/>
  <c r="L95" i="3"/>
  <c r="K95" i="3"/>
  <c r="B95" i="3"/>
  <c r="O94" i="3"/>
  <c r="N94" i="3"/>
  <c r="M94" i="3"/>
  <c r="L94" i="3"/>
  <c r="K94" i="3"/>
  <c r="B94" i="3"/>
  <c r="O93" i="3"/>
  <c r="N93" i="3"/>
  <c r="M93" i="3"/>
  <c r="L93" i="3"/>
  <c r="K93" i="3"/>
  <c r="B93" i="3"/>
  <c r="O92" i="3"/>
  <c r="N92" i="3"/>
  <c r="M92" i="3"/>
  <c r="L92" i="3"/>
  <c r="K92" i="3"/>
  <c r="B92" i="3"/>
  <c r="O91" i="3"/>
  <c r="N91" i="3"/>
  <c r="M91" i="3"/>
  <c r="L91" i="3"/>
  <c r="K91" i="3"/>
  <c r="B91" i="3"/>
  <c r="O90" i="3"/>
  <c r="N90" i="3"/>
  <c r="M90" i="3"/>
  <c r="L90" i="3"/>
  <c r="K90" i="3"/>
  <c r="B90" i="3"/>
  <c r="O89" i="3"/>
  <c r="N89" i="3"/>
  <c r="M89" i="3"/>
  <c r="L89" i="3"/>
  <c r="K89" i="3"/>
  <c r="B89" i="3"/>
  <c r="O88" i="3"/>
  <c r="N88" i="3"/>
  <c r="M88" i="3"/>
  <c r="L88" i="3"/>
  <c r="K88" i="3"/>
  <c r="B88" i="3"/>
  <c r="O87" i="3"/>
  <c r="N87" i="3"/>
  <c r="M87" i="3"/>
  <c r="L87" i="3"/>
  <c r="K87" i="3"/>
  <c r="B87" i="3"/>
  <c r="O86" i="3"/>
  <c r="N86" i="3"/>
  <c r="M86" i="3"/>
  <c r="L86" i="3"/>
  <c r="K86" i="3"/>
  <c r="B86" i="3"/>
  <c r="O85" i="3"/>
  <c r="N85" i="3"/>
  <c r="M85" i="3"/>
  <c r="L85" i="3"/>
  <c r="K85" i="3"/>
  <c r="B85" i="3"/>
  <c r="O84" i="3"/>
  <c r="N84" i="3"/>
  <c r="M84" i="3"/>
  <c r="L84" i="3"/>
  <c r="K84" i="3"/>
  <c r="B84" i="3"/>
  <c r="O83" i="3"/>
  <c r="N83" i="3"/>
  <c r="M83" i="3"/>
  <c r="L83" i="3"/>
  <c r="K83" i="3"/>
  <c r="B83" i="3"/>
  <c r="O82" i="3"/>
  <c r="N82" i="3"/>
  <c r="M82" i="3"/>
  <c r="L82" i="3"/>
  <c r="K82" i="3"/>
  <c r="B82" i="3"/>
  <c r="O81" i="3"/>
  <c r="N81" i="3"/>
  <c r="M81" i="3"/>
  <c r="L81" i="3"/>
  <c r="K81" i="3"/>
  <c r="B81" i="3"/>
  <c r="O80" i="3"/>
  <c r="N80" i="3"/>
  <c r="M80" i="3"/>
  <c r="L80" i="3"/>
  <c r="K80" i="3"/>
  <c r="B80" i="3"/>
  <c r="O79" i="3"/>
  <c r="N79" i="3"/>
  <c r="M79" i="3"/>
  <c r="L79" i="3"/>
  <c r="K79" i="3"/>
  <c r="B79" i="3"/>
  <c r="O78" i="3"/>
  <c r="N78" i="3"/>
  <c r="M78" i="3"/>
  <c r="L78" i="3"/>
  <c r="K78" i="3"/>
  <c r="B78" i="3"/>
  <c r="O77" i="3"/>
  <c r="N77" i="3"/>
  <c r="M77" i="3"/>
  <c r="L77" i="3"/>
  <c r="K77" i="3"/>
  <c r="B77" i="3"/>
  <c r="O76" i="3"/>
  <c r="N76" i="3"/>
  <c r="M76" i="3"/>
  <c r="L76" i="3"/>
  <c r="K76" i="3"/>
  <c r="B76" i="3"/>
  <c r="O75" i="3"/>
  <c r="N75" i="3"/>
  <c r="M75" i="3"/>
  <c r="L75" i="3"/>
  <c r="K75" i="3"/>
  <c r="B75" i="3"/>
  <c r="O74" i="3"/>
  <c r="N74" i="3"/>
  <c r="M74" i="3"/>
  <c r="L74" i="3"/>
  <c r="K74" i="3"/>
  <c r="B74" i="3"/>
  <c r="O73" i="3"/>
  <c r="N73" i="3"/>
  <c r="M73" i="3"/>
  <c r="L73" i="3"/>
  <c r="K73" i="3"/>
  <c r="B73" i="3"/>
  <c r="O72" i="3"/>
  <c r="N72" i="3"/>
  <c r="M72" i="3"/>
  <c r="L72" i="3"/>
  <c r="K72" i="3"/>
  <c r="B72" i="3"/>
  <c r="O71" i="3"/>
  <c r="N71" i="3"/>
  <c r="M71" i="3"/>
  <c r="L71" i="3"/>
  <c r="K71" i="3"/>
  <c r="B71" i="3"/>
  <c r="O70" i="3"/>
  <c r="N70" i="3"/>
  <c r="M70" i="3"/>
  <c r="L70" i="3"/>
  <c r="K70" i="3"/>
  <c r="B70" i="3"/>
  <c r="O69" i="3"/>
  <c r="N69" i="3"/>
  <c r="M69" i="3"/>
  <c r="L69" i="3"/>
  <c r="K69" i="3"/>
  <c r="B69" i="3"/>
  <c r="O68" i="3"/>
  <c r="N68" i="3"/>
  <c r="M68" i="3"/>
  <c r="L68" i="3"/>
  <c r="K68" i="3"/>
  <c r="B68" i="3"/>
  <c r="O67" i="3"/>
  <c r="N67" i="3"/>
  <c r="M67" i="3"/>
  <c r="L67" i="3"/>
  <c r="K67" i="3"/>
  <c r="B67" i="3"/>
  <c r="O66" i="3"/>
  <c r="N66" i="3"/>
  <c r="M66" i="3"/>
  <c r="L66" i="3"/>
  <c r="K66" i="3"/>
  <c r="B66" i="3"/>
  <c r="O65" i="3"/>
  <c r="N65" i="3"/>
  <c r="M65" i="3"/>
  <c r="L65" i="3"/>
  <c r="K65" i="3"/>
  <c r="B65" i="3"/>
  <c r="O64" i="3"/>
  <c r="N64" i="3"/>
  <c r="M64" i="3"/>
  <c r="L64" i="3"/>
  <c r="K64" i="3"/>
  <c r="B64" i="3"/>
  <c r="O63" i="3"/>
  <c r="N63" i="3"/>
  <c r="M63" i="3"/>
  <c r="L63" i="3"/>
  <c r="K63" i="3"/>
  <c r="B63" i="3"/>
  <c r="O62" i="3"/>
  <c r="N62" i="3"/>
  <c r="M62" i="3"/>
  <c r="L62" i="3"/>
  <c r="K62" i="3"/>
  <c r="B62" i="3"/>
  <c r="O61" i="3"/>
  <c r="N61" i="3"/>
  <c r="M61" i="3"/>
  <c r="L61" i="3"/>
  <c r="K61" i="3"/>
  <c r="B61" i="3"/>
  <c r="O60" i="3"/>
  <c r="N60" i="3"/>
  <c r="M60" i="3"/>
  <c r="L60" i="3"/>
  <c r="K60" i="3"/>
  <c r="B60" i="3"/>
  <c r="O59" i="3"/>
  <c r="N59" i="3"/>
  <c r="M59" i="3"/>
  <c r="L59" i="3"/>
  <c r="K59" i="3"/>
  <c r="B59" i="3"/>
  <c r="O58" i="3"/>
  <c r="N58" i="3"/>
  <c r="M58" i="3"/>
  <c r="L58" i="3"/>
  <c r="K58" i="3"/>
  <c r="B58" i="3"/>
  <c r="O57" i="3"/>
  <c r="N57" i="3"/>
  <c r="M57" i="3"/>
  <c r="L57" i="3"/>
  <c r="K57" i="3"/>
  <c r="B57" i="3"/>
  <c r="O56" i="3"/>
  <c r="N56" i="3"/>
  <c r="M56" i="3"/>
  <c r="L56" i="3"/>
  <c r="K56" i="3"/>
  <c r="B56" i="3"/>
  <c r="O55" i="3"/>
  <c r="N55" i="3"/>
  <c r="M55" i="3"/>
  <c r="L55" i="3"/>
  <c r="K55" i="3"/>
  <c r="B55" i="3"/>
  <c r="O54" i="3"/>
  <c r="N54" i="3"/>
  <c r="M54" i="3"/>
  <c r="L54" i="3"/>
  <c r="K54" i="3"/>
  <c r="B54" i="3"/>
  <c r="O53" i="3"/>
  <c r="N53" i="3"/>
  <c r="M53" i="3"/>
  <c r="L53" i="3"/>
  <c r="K53" i="3"/>
  <c r="B53" i="3"/>
  <c r="O52" i="3"/>
  <c r="N52" i="3"/>
  <c r="M52" i="3"/>
  <c r="L52" i="3"/>
  <c r="K52" i="3"/>
  <c r="B52" i="3"/>
  <c r="O51" i="3"/>
  <c r="N51" i="3"/>
  <c r="M51" i="3"/>
  <c r="L51" i="3"/>
  <c r="K51" i="3"/>
  <c r="B51" i="3"/>
  <c r="O50" i="3"/>
  <c r="N50" i="3"/>
  <c r="M50" i="3"/>
  <c r="L50" i="3"/>
  <c r="K50" i="3"/>
  <c r="B50" i="3"/>
  <c r="O49" i="3"/>
  <c r="N49" i="3"/>
  <c r="M49" i="3"/>
  <c r="L49" i="3"/>
  <c r="K49" i="3"/>
  <c r="B49" i="3"/>
  <c r="O48" i="3"/>
  <c r="N48" i="3"/>
  <c r="M48" i="3"/>
  <c r="L48" i="3"/>
  <c r="K48" i="3"/>
  <c r="B48" i="3"/>
  <c r="O47" i="3"/>
  <c r="N47" i="3"/>
  <c r="M47" i="3"/>
  <c r="L47" i="3"/>
  <c r="K47" i="3"/>
  <c r="B47" i="3"/>
  <c r="O46" i="3"/>
  <c r="N46" i="3"/>
  <c r="M46" i="3"/>
  <c r="L46" i="3"/>
  <c r="K46" i="3"/>
  <c r="B46" i="3"/>
  <c r="O45" i="3"/>
  <c r="N45" i="3"/>
  <c r="M45" i="3"/>
  <c r="L45" i="3"/>
  <c r="K45" i="3"/>
  <c r="B45" i="3"/>
  <c r="O44" i="3"/>
  <c r="N44" i="3"/>
  <c r="M44" i="3"/>
  <c r="L44" i="3"/>
  <c r="K44" i="3"/>
  <c r="B44" i="3"/>
  <c r="O43" i="3"/>
  <c r="N43" i="3"/>
  <c r="M43" i="3"/>
  <c r="L43" i="3"/>
  <c r="K43" i="3"/>
  <c r="B43" i="3"/>
  <c r="O42" i="3"/>
  <c r="N42" i="3"/>
  <c r="M42" i="3"/>
  <c r="L42" i="3"/>
  <c r="K42" i="3"/>
  <c r="B42" i="3"/>
  <c r="O41" i="3"/>
  <c r="N41" i="3"/>
  <c r="M41" i="3"/>
  <c r="L41" i="3"/>
  <c r="K41" i="3"/>
  <c r="B41" i="3"/>
  <c r="O40" i="3"/>
  <c r="N40" i="3"/>
  <c r="M40" i="3"/>
  <c r="L40" i="3"/>
  <c r="K40" i="3"/>
  <c r="B40" i="3"/>
  <c r="O39" i="3"/>
  <c r="N39" i="3"/>
  <c r="M39" i="3"/>
  <c r="L39" i="3"/>
  <c r="K39" i="3"/>
  <c r="B39" i="3"/>
  <c r="O38" i="3"/>
  <c r="N38" i="3"/>
  <c r="M38" i="3"/>
  <c r="L38" i="3"/>
  <c r="K38" i="3"/>
  <c r="B38" i="3"/>
  <c r="O37" i="3"/>
  <c r="N37" i="3"/>
  <c r="M37" i="3"/>
  <c r="L37" i="3"/>
  <c r="K37" i="3"/>
  <c r="B37" i="3"/>
  <c r="O36" i="3"/>
  <c r="N36" i="3"/>
  <c r="M36" i="3"/>
  <c r="L36" i="3"/>
  <c r="K36" i="3"/>
  <c r="B36" i="3"/>
  <c r="O35" i="3"/>
  <c r="N35" i="3"/>
  <c r="M35" i="3"/>
  <c r="L35" i="3"/>
  <c r="K35" i="3"/>
  <c r="B35" i="3"/>
  <c r="O34" i="3"/>
  <c r="N34" i="3"/>
  <c r="M34" i="3"/>
  <c r="L34" i="3"/>
  <c r="K34" i="3"/>
  <c r="B34" i="3"/>
  <c r="O33" i="3"/>
  <c r="N33" i="3"/>
  <c r="M33" i="3"/>
  <c r="L33" i="3"/>
  <c r="K33" i="3"/>
  <c r="B33" i="3"/>
  <c r="O32" i="3"/>
  <c r="N32" i="3"/>
  <c r="M32" i="3"/>
  <c r="L32" i="3"/>
  <c r="K32" i="3"/>
  <c r="B32" i="3"/>
  <c r="O31" i="3"/>
  <c r="N31" i="3"/>
  <c r="M31" i="3"/>
  <c r="L31" i="3"/>
  <c r="K31" i="3"/>
  <c r="B31" i="3"/>
  <c r="O30" i="3"/>
  <c r="N30" i="3"/>
  <c r="M30" i="3"/>
  <c r="L30" i="3"/>
  <c r="K30" i="3"/>
  <c r="B30" i="3"/>
  <c r="O29" i="3"/>
  <c r="N29" i="3"/>
  <c r="M29" i="3"/>
  <c r="L29" i="3"/>
  <c r="K29" i="3"/>
  <c r="B29" i="3"/>
  <c r="O28" i="3"/>
  <c r="N28" i="3"/>
  <c r="M28" i="3"/>
  <c r="L28" i="3"/>
  <c r="K28" i="3"/>
  <c r="B28" i="3"/>
  <c r="O27" i="3"/>
  <c r="N27" i="3"/>
  <c r="M27" i="3"/>
  <c r="L27" i="3"/>
  <c r="K27" i="3"/>
  <c r="B27" i="3"/>
  <c r="O26" i="3"/>
  <c r="N26" i="3"/>
  <c r="M26" i="3"/>
  <c r="L26" i="3"/>
  <c r="K26" i="3"/>
  <c r="B26" i="3"/>
  <c r="O25" i="3"/>
  <c r="N25" i="3"/>
  <c r="M25" i="3"/>
  <c r="L25" i="3"/>
  <c r="K25" i="3"/>
  <c r="B25" i="3"/>
  <c r="O24" i="3"/>
  <c r="N24" i="3"/>
  <c r="M24" i="3"/>
  <c r="L24" i="3"/>
  <c r="K24" i="3"/>
  <c r="B24" i="3"/>
  <c r="O23" i="3"/>
  <c r="N23" i="3"/>
  <c r="M23" i="3"/>
  <c r="L23" i="3"/>
  <c r="K23" i="3"/>
  <c r="B23" i="3"/>
  <c r="O22" i="3"/>
  <c r="N22" i="3"/>
  <c r="M22" i="3"/>
  <c r="L22" i="3"/>
  <c r="K22" i="3"/>
  <c r="B22" i="3"/>
  <c r="O21" i="3"/>
  <c r="N21" i="3"/>
  <c r="M21" i="3"/>
  <c r="L21" i="3"/>
  <c r="K21" i="3"/>
  <c r="B21" i="3"/>
  <c r="O20" i="3"/>
  <c r="N20" i="3"/>
  <c r="M20" i="3"/>
  <c r="L20" i="3"/>
  <c r="K20" i="3"/>
  <c r="B20" i="3"/>
  <c r="O19" i="3"/>
  <c r="N19" i="3"/>
  <c r="M19" i="3"/>
  <c r="L19" i="3"/>
  <c r="K19" i="3"/>
  <c r="B19" i="3"/>
  <c r="O18" i="3"/>
  <c r="N18" i="3"/>
  <c r="M18" i="3"/>
  <c r="L18" i="3"/>
  <c r="K18" i="3"/>
  <c r="B18" i="3"/>
  <c r="O17" i="3"/>
  <c r="N17" i="3"/>
  <c r="M17" i="3"/>
  <c r="L17" i="3"/>
  <c r="K17" i="3"/>
  <c r="B17" i="3"/>
  <c r="O16" i="3"/>
  <c r="N16" i="3"/>
  <c r="M16" i="3"/>
  <c r="L16" i="3"/>
  <c r="K16" i="3"/>
  <c r="B16" i="3"/>
  <c r="O15" i="3"/>
  <c r="N15" i="3"/>
  <c r="M15" i="3"/>
  <c r="L15" i="3"/>
  <c r="K15" i="3"/>
  <c r="B15" i="3"/>
  <c r="O14" i="3"/>
  <c r="N14" i="3"/>
  <c r="M14" i="3"/>
  <c r="L14" i="3"/>
  <c r="K14" i="3"/>
  <c r="B14" i="3"/>
  <c r="O13" i="3"/>
  <c r="N13" i="3"/>
  <c r="M13" i="3"/>
  <c r="L13" i="3"/>
  <c r="K13" i="3"/>
  <c r="B13" i="3"/>
  <c r="O12" i="3"/>
  <c r="N12" i="3"/>
  <c r="M12" i="3"/>
  <c r="L12" i="3"/>
  <c r="K12" i="3"/>
  <c r="B12" i="3"/>
  <c r="O11" i="3"/>
  <c r="N11" i="3"/>
  <c r="M11" i="3"/>
  <c r="L11" i="3"/>
  <c r="K11" i="3"/>
  <c r="B11" i="3"/>
  <c r="O10" i="3"/>
  <c r="N10" i="3"/>
  <c r="M10" i="3"/>
  <c r="L10" i="3"/>
  <c r="K10" i="3"/>
  <c r="B10" i="3"/>
  <c r="O9" i="3"/>
  <c r="N9" i="3"/>
  <c r="M9" i="3"/>
  <c r="L9" i="3"/>
  <c r="K9" i="3"/>
  <c r="B9" i="3"/>
  <c r="O8" i="3"/>
  <c r="N8" i="3"/>
  <c r="M8" i="3"/>
  <c r="L8" i="3"/>
  <c r="K8" i="3"/>
  <c r="B8" i="3"/>
  <c r="O7" i="3"/>
  <c r="N7" i="3"/>
  <c r="M7" i="3"/>
  <c r="L7" i="3"/>
  <c r="K7" i="3"/>
  <c r="B7" i="3"/>
  <c r="O6" i="3"/>
  <c r="N6" i="3"/>
  <c r="M6" i="3"/>
  <c r="L6" i="3"/>
  <c r="K6" i="3"/>
  <c r="B6" i="3"/>
  <c r="O5" i="3"/>
  <c r="N5" i="3"/>
  <c r="M5" i="3"/>
  <c r="L5" i="3"/>
  <c r="K5" i="3"/>
  <c r="B5" i="3"/>
  <c r="O4" i="3"/>
  <c r="N4" i="3"/>
  <c r="M4" i="3"/>
  <c r="L4" i="3"/>
  <c r="K4" i="3"/>
  <c r="B4" i="3"/>
  <c r="O3" i="3"/>
  <c r="N3" i="3"/>
  <c r="M3" i="3"/>
  <c r="L3" i="3"/>
  <c r="K3" i="3"/>
  <c r="B3" i="3"/>
  <c r="O2" i="3"/>
  <c r="N2" i="3"/>
  <c r="M2" i="3"/>
  <c r="L2" i="3"/>
  <c r="K2" i="3"/>
  <c r="B2" i="3"/>
  <c r="O466" i="2" l="1"/>
  <c r="N466" i="2"/>
  <c r="M466" i="2"/>
  <c r="L466" i="2"/>
  <c r="K466" i="2"/>
  <c r="B466" i="2"/>
  <c r="O465" i="2"/>
  <c r="N465" i="2"/>
  <c r="M465" i="2"/>
  <c r="L465" i="2"/>
  <c r="K465" i="2"/>
  <c r="B465" i="2"/>
  <c r="O464" i="2"/>
  <c r="N464" i="2"/>
  <c r="M464" i="2"/>
  <c r="L464" i="2"/>
  <c r="K464" i="2"/>
  <c r="B464" i="2"/>
  <c r="O463" i="2"/>
  <c r="N463" i="2"/>
  <c r="M463" i="2"/>
  <c r="L463" i="2"/>
  <c r="K463" i="2"/>
  <c r="B463" i="2"/>
  <c r="O462" i="2"/>
  <c r="N462" i="2"/>
  <c r="M462" i="2"/>
  <c r="L462" i="2"/>
  <c r="K462" i="2"/>
  <c r="B462" i="2"/>
  <c r="O461" i="2"/>
  <c r="N461" i="2"/>
  <c r="M461" i="2"/>
  <c r="L461" i="2"/>
  <c r="K461" i="2"/>
  <c r="B461" i="2"/>
  <c r="O460" i="2"/>
  <c r="N460" i="2"/>
  <c r="M460" i="2"/>
  <c r="L460" i="2"/>
  <c r="K460" i="2"/>
  <c r="B460" i="2"/>
  <c r="O459" i="2"/>
  <c r="N459" i="2"/>
  <c r="M459" i="2"/>
  <c r="L459" i="2"/>
  <c r="K459" i="2"/>
  <c r="B459" i="2"/>
  <c r="O458" i="2"/>
  <c r="N458" i="2"/>
  <c r="M458" i="2"/>
  <c r="L458" i="2"/>
  <c r="K458" i="2"/>
  <c r="B458" i="2"/>
  <c r="O457" i="2"/>
  <c r="N457" i="2"/>
  <c r="M457" i="2"/>
  <c r="L457" i="2"/>
  <c r="K457" i="2"/>
  <c r="B457" i="2"/>
  <c r="O456" i="2"/>
  <c r="N456" i="2"/>
  <c r="M456" i="2"/>
  <c r="L456" i="2"/>
  <c r="K456" i="2"/>
  <c r="B456" i="2"/>
  <c r="O455" i="2"/>
  <c r="N455" i="2"/>
  <c r="M455" i="2"/>
  <c r="L455" i="2"/>
  <c r="K455" i="2"/>
  <c r="B455" i="2"/>
  <c r="O454" i="2"/>
  <c r="N454" i="2"/>
  <c r="M454" i="2"/>
  <c r="L454" i="2"/>
  <c r="K454" i="2"/>
  <c r="B454" i="2"/>
  <c r="O453" i="2"/>
  <c r="N453" i="2"/>
  <c r="M453" i="2"/>
  <c r="L453" i="2"/>
  <c r="K453" i="2"/>
  <c r="B453" i="2"/>
  <c r="O452" i="2"/>
  <c r="N452" i="2"/>
  <c r="M452" i="2"/>
  <c r="L452" i="2"/>
  <c r="K452" i="2"/>
  <c r="B452" i="2"/>
  <c r="O451" i="2"/>
  <c r="N451" i="2"/>
  <c r="M451" i="2"/>
  <c r="L451" i="2"/>
  <c r="K451" i="2"/>
  <c r="B451" i="2"/>
  <c r="O450" i="2"/>
  <c r="N450" i="2"/>
  <c r="M450" i="2"/>
  <c r="L450" i="2"/>
  <c r="K450" i="2"/>
  <c r="B450" i="2"/>
  <c r="O449" i="2"/>
  <c r="N449" i="2"/>
  <c r="M449" i="2"/>
  <c r="L449" i="2"/>
  <c r="K449" i="2"/>
  <c r="B449" i="2"/>
  <c r="O448" i="2"/>
  <c r="N448" i="2"/>
  <c r="M448" i="2"/>
  <c r="L448" i="2"/>
  <c r="K448" i="2"/>
  <c r="B448" i="2"/>
  <c r="O447" i="2"/>
  <c r="N447" i="2"/>
  <c r="M447" i="2"/>
  <c r="L447" i="2"/>
  <c r="K447" i="2"/>
  <c r="B447" i="2"/>
  <c r="O446" i="2"/>
  <c r="N446" i="2"/>
  <c r="M446" i="2"/>
  <c r="L446" i="2"/>
  <c r="K446" i="2"/>
  <c r="B446" i="2"/>
  <c r="O445" i="2"/>
  <c r="N445" i="2"/>
  <c r="M445" i="2"/>
  <c r="L445" i="2"/>
  <c r="K445" i="2"/>
  <c r="B445" i="2"/>
  <c r="O444" i="2"/>
  <c r="N444" i="2"/>
  <c r="M444" i="2"/>
  <c r="L444" i="2"/>
  <c r="K444" i="2"/>
  <c r="B444" i="2"/>
  <c r="O443" i="2"/>
  <c r="N443" i="2"/>
  <c r="M443" i="2"/>
  <c r="L443" i="2"/>
  <c r="K443" i="2"/>
  <c r="B443" i="2"/>
  <c r="O442" i="2"/>
  <c r="N442" i="2"/>
  <c r="M442" i="2"/>
  <c r="L442" i="2"/>
  <c r="K442" i="2"/>
  <c r="B442" i="2"/>
  <c r="O441" i="2"/>
  <c r="N441" i="2"/>
  <c r="M441" i="2"/>
  <c r="L441" i="2"/>
  <c r="K441" i="2"/>
  <c r="B441" i="2"/>
  <c r="O440" i="2"/>
  <c r="N440" i="2"/>
  <c r="M440" i="2"/>
  <c r="L440" i="2"/>
  <c r="K440" i="2"/>
  <c r="B440" i="2"/>
  <c r="O439" i="2"/>
  <c r="N439" i="2"/>
  <c r="M439" i="2"/>
  <c r="L439" i="2"/>
  <c r="K439" i="2"/>
  <c r="B439" i="2"/>
  <c r="O438" i="2"/>
  <c r="N438" i="2"/>
  <c r="M438" i="2"/>
  <c r="L438" i="2"/>
  <c r="K438" i="2"/>
  <c r="B438" i="2"/>
  <c r="O437" i="2"/>
  <c r="N437" i="2"/>
  <c r="M437" i="2"/>
  <c r="L437" i="2"/>
  <c r="K437" i="2"/>
  <c r="B437" i="2"/>
  <c r="O436" i="2"/>
  <c r="N436" i="2"/>
  <c r="M436" i="2"/>
  <c r="L436" i="2"/>
  <c r="K436" i="2"/>
  <c r="B436" i="2"/>
  <c r="O435" i="2"/>
  <c r="N435" i="2"/>
  <c r="M435" i="2"/>
  <c r="L435" i="2"/>
  <c r="K435" i="2"/>
  <c r="B435" i="2"/>
  <c r="O434" i="2"/>
  <c r="N434" i="2"/>
  <c r="M434" i="2"/>
  <c r="L434" i="2"/>
  <c r="K434" i="2"/>
  <c r="B434" i="2"/>
  <c r="O433" i="2"/>
  <c r="N433" i="2"/>
  <c r="M433" i="2"/>
  <c r="L433" i="2"/>
  <c r="K433" i="2"/>
  <c r="B433" i="2"/>
  <c r="O432" i="2"/>
  <c r="N432" i="2"/>
  <c r="M432" i="2"/>
  <c r="L432" i="2"/>
  <c r="K432" i="2"/>
  <c r="B432" i="2"/>
  <c r="O431" i="2"/>
  <c r="N431" i="2"/>
  <c r="M431" i="2"/>
  <c r="L431" i="2"/>
  <c r="K431" i="2"/>
  <c r="B431" i="2"/>
  <c r="O430" i="2"/>
  <c r="N430" i="2"/>
  <c r="M430" i="2"/>
  <c r="L430" i="2"/>
  <c r="K430" i="2"/>
  <c r="B430" i="2"/>
  <c r="O429" i="2"/>
  <c r="N429" i="2"/>
  <c r="M429" i="2"/>
  <c r="L429" i="2"/>
  <c r="K429" i="2"/>
  <c r="B429" i="2"/>
  <c r="O428" i="2"/>
  <c r="N428" i="2"/>
  <c r="M428" i="2"/>
  <c r="L428" i="2"/>
  <c r="K428" i="2"/>
  <c r="B428" i="2"/>
  <c r="O427" i="2"/>
  <c r="N427" i="2"/>
  <c r="M427" i="2"/>
  <c r="L427" i="2"/>
  <c r="K427" i="2"/>
  <c r="B427" i="2"/>
  <c r="O426" i="2"/>
  <c r="N426" i="2"/>
  <c r="M426" i="2"/>
  <c r="L426" i="2"/>
  <c r="K426" i="2"/>
  <c r="B426" i="2"/>
  <c r="O425" i="2"/>
  <c r="N425" i="2"/>
  <c r="M425" i="2"/>
  <c r="L425" i="2"/>
  <c r="K425" i="2"/>
  <c r="B425" i="2"/>
  <c r="O424" i="2"/>
  <c r="N424" i="2"/>
  <c r="M424" i="2"/>
  <c r="L424" i="2"/>
  <c r="K424" i="2"/>
  <c r="B424" i="2"/>
  <c r="O423" i="2"/>
  <c r="N423" i="2"/>
  <c r="M423" i="2"/>
  <c r="L423" i="2"/>
  <c r="K423" i="2"/>
  <c r="B423" i="2"/>
  <c r="O422" i="2"/>
  <c r="N422" i="2"/>
  <c r="M422" i="2"/>
  <c r="L422" i="2"/>
  <c r="K422" i="2"/>
  <c r="B422" i="2"/>
  <c r="O421" i="2"/>
  <c r="N421" i="2"/>
  <c r="M421" i="2"/>
  <c r="L421" i="2"/>
  <c r="K421" i="2"/>
  <c r="B421" i="2"/>
  <c r="O420" i="2"/>
  <c r="N420" i="2"/>
  <c r="M420" i="2"/>
  <c r="L420" i="2"/>
  <c r="K420" i="2"/>
  <c r="B420" i="2"/>
  <c r="O419" i="2"/>
  <c r="N419" i="2"/>
  <c r="M419" i="2"/>
  <c r="L419" i="2"/>
  <c r="K419" i="2"/>
  <c r="B419" i="2"/>
  <c r="O418" i="2"/>
  <c r="N418" i="2"/>
  <c r="M418" i="2"/>
  <c r="L418" i="2"/>
  <c r="K418" i="2"/>
  <c r="B418" i="2"/>
  <c r="O417" i="2"/>
  <c r="N417" i="2"/>
  <c r="M417" i="2"/>
  <c r="L417" i="2"/>
  <c r="K417" i="2"/>
  <c r="B417" i="2"/>
  <c r="O416" i="2"/>
  <c r="N416" i="2"/>
  <c r="M416" i="2"/>
  <c r="L416" i="2"/>
  <c r="K416" i="2"/>
  <c r="B416" i="2"/>
  <c r="O415" i="2"/>
  <c r="N415" i="2"/>
  <c r="M415" i="2"/>
  <c r="L415" i="2"/>
  <c r="K415" i="2"/>
  <c r="B415" i="2"/>
  <c r="O414" i="2"/>
  <c r="N414" i="2"/>
  <c r="M414" i="2"/>
  <c r="L414" i="2"/>
  <c r="K414" i="2"/>
  <c r="B414" i="2"/>
  <c r="O413" i="2"/>
  <c r="N413" i="2"/>
  <c r="M413" i="2"/>
  <c r="L413" i="2"/>
  <c r="K413" i="2"/>
  <c r="B413" i="2"/>
  <c r="O412" i="2"/>
  <c r="N412" i="2"/>
  <c r="M412" i="2"/>
  <c r="L412" i="2"/>
  <c r="K412" i="2"/>
  <c r="B412" i="2"/>
  <c r="O411" i="2"/>
  <c r="N411" i="2"/>
  <c r="M411" i="2"/>
  <c r="L411" i="2"/>
  <c r="K411" i="2"/>
  <c r="B411" i="2"/>
  <c r="O410" i="2"/>
  <c r="N410" i="2"/>
  <c r="M410" i="2"/>
  <c r="L410" i="2"/>
  <c r="K410" i="2"/>
  <c r="B410" i="2"/>
  <c r="O409" i="2"/>
  <c r="N409" i="2"/>
  <c r="M409" i="2"/>
  <c r="L409" i="2"/>
  <c r="K409" i="2"/>
  <c r="B409" i="2"/>
  <c r="O408" i="2"/>
  <c r="N408" i="2"/>
  <c r="M408" i="2"/>
  <c r="L408" i="2"/>
  <c r="K408" i="2"/>
  <c r="B408" i="2"/>
  <c r="O407" i="2"/>
  <c r="N407" i="2"/>
  <c r="M407" i="2"/>
  <c r="L407" i="2"/>
  <c r="K407" i="2"/>
  <c r="B407" i="2"/>
  <c r="O406" i="2"/>
  <c r="N406" i="2"/>
  <c r="M406" i="2"/>
  <c r="L406" i="2"/>
  <c r="K406" i="2"/>
  <c r="B406" i="2"/>
  <c r="O405" i="2"/>
  <c r="N405" i="2"/>
  <c r="M405" i="2"/>
  <c r="L405" i="2"/>
  <c r="K405" i="2"/>
  <c r="B405" i="2"/>
  <c r="O404" i="2"/>
  <c r="N404" i="2"/>
  <c r="M404" i="2"/>
  <c r="L404" i="2"/>
  <c r="K404" i="2"/>
  <c r="B404" i="2"/>
  <c r="O403" i="2"/>
  <c r="N403" i="2"/>
  <c r="M403" i="2"/>
  <c r="L403" i="2"/>
  <c r="K403" i="2"/>
  <c r="B403" i="2"/>
  <c r="O402" i="2"/>
  <c r="N402" i="2"/>
  <c r="M402" i="2"/>
  <c r="L402" i="2"/>
  <c r="K402" i="2"/>
  <c r="B402" i="2"/>
  <c r="O401" i="2"/>
  <c r="N401" i="2"/>
  <c r="M401" i="2"/>
  <c r="L401" i="2"/>
  <c r="K401" i="2"/>
  <c r="B401" i="2"/>
  <c r="O400" i="2"/>
  <c r="N400" i="2"/>
  <c r="M400" i="2"/>
  <c r="L400" i="2"/>
  <c r="K400" i="2"/>
  <c r="B400" i="2"/>
  <c r="O399" i="2"/>
  <c r="N399" i="2"/>
  <c r="M399" i="2"/>
  <c r="L399" i="2"/>
  <c r="K399" i="2"/>
  <c r="B399" i="2"/>
  <c r="O398" i="2"/>
  <c r="N398" i="2"/>
  <c r="M398" i="2"/>
  <c r="L398" i="2"/>
  <c r="K398" i="2"/>
  <c r="B398" i="2"/>
  <c r="O397" i="2"/>
  <c r="N397" i="2"/>
  <c r="M397" i="2"/>
  <c r="L397" i="2"/>
  <c r="K397" i="2"/>
  <c r="B397" i="2"/>
  <c r="O396" i="2"/>
  <c r="N396" i="2"/>
  <c r="M396" i="2"/>
  <c r="L396" i="2"/>
  <c r="K396" i="2"/>
  <c r="B396" i="2"/>
  <c r="O395" i="2"/>
  <c r="N395" i="2"/>
  <c r="M395" i="2"/>
  <c r="L395" i="2"/>
  <c r="K395" i="2"/>
  <c r="B395" i="2"/>
  <c r="O394" i="2"/>
  <c r="N394" i="2"/>
  <c r="M394" i="2"/>
  <c r="L394" i="2"/>
  <c r="K394" i="2"/>
  <c r="B394" i="2"/>
  <c r="O393" i="2"/>
  <c r="N393" i="2"/>
  <c r="M393" i="2"/>
  <c r="L393" i="2"/>
  <c r="K393" i="2"/>
  <c r="B393" i="2"/>
  <c r="O392" i="2"/>
  <c r="N392" i="2"/>
  <c r="M392" i="2"/>
  <c r="L392" i="2"/>
  <c r="K392" i="2"/>
  <c r="B392" i="2"/>
  <c r="O391" i="2"/>
  <c r="N391" i="2"/>
  <c r="M391" i="2"/>
  <c r="L391" i="2"/>
  <c r="K391" i="2"/>
  <c r="B391" i="2"/>
  <c r="O390" i="2"/>
  <c r="N390" i="2"/>
  <c r="M390" i="2"/>
  <c r="L390" i="2"/>
  <c r="K390" i="2"/>
  <c r="B390" i="2"/>
  <c r="O389" i="2"/>
  <c r="N389" i="2"/>
  <c r="M389" i="2"/>
  <c r="L389" i="2"/>
  <c r="K389" i="2"/>
  <c r="B389" i="2"/>
  <c r="O388" i="2"/>
  <c r="N388" i="2"/>
  <c r="M388" i="2"/>
  <c r="L388" i="2"/>
  <c r="K388" i="2"/>
  <c r="B388" i="2"/>
  <c r="O387" i="2"/>
  <c r="N387" i="2"/>
  <c r="M387" i="2"/>
  <c r="L387" i="2"/>
  <c r="K387" i="2"/>
  <c r="B387" i="2"/>
  <c r="O386" i="2"/>
  <c r="N386" i="2"/>
  <c r="M386" i="2"/>
  <c r="L386" i="2"/>
  <c r="K386" i="2"/>
  <c r="B386" i="2"/>
  <c r="O385" i="2"/>
  <c r="N385" i="2"/>
  <c r="M385" i="2"/>
  <c r="L385" i="2"/>
  <c r="K385" i="2"/>
  <c r="B385" i="2"/>
  <c r="O384" i="2"/>
  <c r="N384" i="2"/>
  <c r="M384" i="2"/>
  <c r="L384" i="2"/>
  <c r="K384" i="2"/>
  <c r="B384" i="2"/>
  <c r="O383" i="2"/>
  <c r="N383" i="2"/>
  <c r="M383" i="2"/>
  <c r="L383" i="2"/>
  <c r="K383" i="2"/>
  <c r="B383" i="2"/>
  <c r="O382" i="2"/>
  <c r="N382" i="2"/>
  <c r="M382" i="2"/>
  <c r="L382" i="2"/>
  <c r="K382" i="2"/>
  <c r="B382" i="2"/>
  <c r="O381" i="2"/>
  <c r="N381" i="2"/>
  <c r="M381" i="2"/>
  <c r="L381" i="2"/>
  <c r="K381" i="2"/>
  <c r="B381" i="2"/>
  <c r="O380" i="2"/>
  <c r="N380" i="2"/>
  <c r="M380" i="2"/>
  <c r="L380" i="2"/>
  <c r="K380" i="2"/>
  <c r="B380" i="2"/>
  <c r="O379" i="2"/>
  <c r="N379" i="2"/>
  <c r="M379" i="2"/>
  <c r="L379" i="2"/>
  <c r="K379" i="2"/>
  <c r="B379" i="2"/>
  <c r="O378" i="2"/>
  <c r="N378" i="2"/>
  <c r="M378" i="2"/>
  <c r="L378" i="2"/>
  <c r="K378" i="2"/>
  <c r="B378" i="2"/>
  <c r="O377" i="2"/>
  <c r="N377" i="2"/>
  <c r="M377" i="2"/>
  <c r="L377" i="2"/>
  <c r="K377" i="2"/>
  <c r="B377" i="2"/>
  <c r="O376" i="2"/>
  <c r="N376" i="2"/>
  <c r="M376" i="2"/>
  <c r="L376" i="2"/>
  <c r="K376" i="2"/>
  <c r="B376" i="2"/>
  <c r="O375" i="2"/>
  <c r="N375" i="2"/>
  <c r="M375" i="2"/>
  <c r="L375" i="2"/>
  <c r="K375" i="2"/>
  <c r="B375" i="2"/>
  <c r="O374" i="2"/>
  <c r="N374" i="2"/>
  <c r="M374" i="2"/>
  <c r="L374" i="2"/>
  <c r="K374" i="2"/>
  <c r="B374" i="2"/>
  <c r="O373" i="2"/>
  <c r="N373" i="2"/>
  <c r="M373" i="2"/>
  <c r="L373" i="2"/>
  <c r="K373" i="2"/>
  <c r="B373" i="2"/>
  <c r="O372" i="2"/>
  <c r="N372" i="2"/>
  <c r="M372" i="2"/>
  <c r="L372" i="2"/>
  <c r="K372" i="2"/>
  <c r="B372" i="2"/>
  <c r="O371" i="2"/>
  <c r="N371" i="2"/>
  <c r="M371" i="2"/>
  <c r="L371" i="2"/>
  <c r="K371" i="2"/>
  <c r="B371" i="2"/>
  <c r="O370" i="2"/>
  <c r="N370" i="2"/>
  <c r="M370" i="2"/>
  <c r="L370" i="2"/>
  <c r="K370" i="2"/>
  <c r="B370" i="2"/>
  <c r="O369" i="2"/>
  <c r="N369" i="2"/>
  <c r="M369" i="2"/>
  <c r="L369" i="2"/>
  <c r="K369" i="2"/>
  <c r="B369" i="2"/>
  <c r="O368" i="2"/>
  <c r="N368" i="2"/>
  <c r="M368" i="2"/>
  <c r="L368" i="2"/>
  <c r="K368" i="2"/>
  <c r="B368" i="2"/>
  <c r="O367" i="2"/>
  <c r="N367" i="2"/>
  <c r="M367" i="2"/>
  <c r="L367" i="2"/>
  <c r="K367" i="2"/>
  <c r="B367" i="2"/>
  <c r="O366" i="2"/>
  <c r="N366" i="2"/>
  <c r="M366" i="2"/>
  <c r="L366" i="2"/>
  <c r="K366" i="2"/>
  <c r="B366" i="2"/>
  <c r="O365" i="2"/>
  <c r="N365" i="2"/>
  <c r="M365" i="2"/>
  <c r="L365" i="2"/>
  <c r="K365" i="2"/>
  <c r="B365" i="2"/>
  <c r="O364" i="2"/>
  <c r="N364" i="2"/>
  <c r="M364" i="2"/>
  <c r="L364" i="2"/>
  <c r="K364" i="2"/>
  <c r="B364" i="2"/>
  <c r="O363" i="2"/>
  <c r="N363" i="2"/>
  <c r="M363" i="2"/>
  <c r="L363" i="2"/>
  <c r="K363" i="2"/>
  <c r="B363" i="2"/>
  <c r="O362" i="2"/>
  <c r="N362" i="2"/>
  <c r="M362" i="2"/>
  <c r="L362" i="2"/>
  <c r="K362" i="2"/>
  <c r="B362" i="2"/>
  <c r="O361" i="2"/>
  <c r="N361" i="2"/>
  <c r="M361" i="2"/>
  <c r="L361" i="2"/>
  <c r="K361" i="2"/>
  <c r="B361" i="2"/>
  <c r="O360" i="2"/>
  <c r="N360" i="2"/>
  <c r="M360" i="2"/>
  <c r="L360" i="2"/>
  <c r="K360" i="2"/>
  <c r="B360" i="2"/>
  <c r="O359" i="2"/>
  <c r="N359" i="2"/>
  <c r="M359" i="2"/>
  <c r="L359" i="2"/>
  <c r="K359" i="2"/>
  <c r="B359" i="2"/>
  <c r="O358" i="2"/>
  <c r="N358" i="2"/>
  <c r="M358" i="2"/>
  <c r="L358" i="2"/>
  <c r="K358" i="2"/>
  <c r="B358" i="2"/>
  <c r="O357" i="2"/>
  <c r="N357" i="2"/>
  <c r="M357" i="2"/>
  <c r="L357" i="2"/>
  <c r="K357" i="2"/>
  <c r="B357" i="2"/>
  <c r="O356" i="2"/>
  <c r="N356" i="2"/>
  <c r="M356" i="2"/>
  <c r="L356" i="2"/>
  <c r="K356" i="2"/>
  <c r="B356" i="2"/>
  <c r="O355" i="2"/>
  <c r="N355" i="2"/>
  <c r="M355" i="2"/>
  <c r="L355" i="2"/>
  <c r="K355" i="2"/>
  <c r="B355" i="2"/>
  <c r="O354" i="2"/>
  <c r="N354" i="2"/>
  <c r="M354" i="2"/>
  <c r="L354" i="2"/>
  <c r="K354" i="2"/>
  <c r="B354" i="2"/>
  <c r="O353" i="2"/>
  <c r="N353" i="2"/>
  <c r="M353" i="2"/>
  <c r="L353" i="2"/>
  <c r="K353" i="2"/>
  <c r="B353" i="2"/>
  <c r="O352" i="2"/>
  <c r="N352" i="2"/>
  <c r="M352" i="2"/>
  <c r="L352" i="2"/>
  <c r="K352" i="2"/>
  <c r="B352" i="2"/>
  <c r="O351" i="2"/>
  <c r="N351" i="2"/>
  <c r="M351" i="2"/>
  <c r="L351" i="2"/>
  <c r="K351" i="2"/>
  <c r="B351" i="2"/>
  <c r="O350" i="2"/>
  <c r="N350" i="2"/>
  <c r="M350" i="2"/>
  <c r="L350" i="2"/>
  <c r="K350" i="2"/>
  <c r="B350" i="2"/>
  <c r="O349" i="2"/>
  <c r="N349" i="2"/>
  <c r="M349" i="2"/>
  <c r="L349" i="2"/>
  <c r="K349" i="2"/>
  <c r="B349" i="2"/>
  <c r="O348" i="2"/>
  <c r="N348" i="2"/>
  <c r="M348" i="2"/>
  <c r="L348" i="2"/>
  <c r="K348" i="2"/>
  <c r="B348" i="2"/>
  <c r="O347" i="2"/>
  <c r="N347" i="2"/>
  <c r="M347" i="2"/>
  <c r="L347" i="2"/>
  <c r="K347" i="2"/>
  <c r="B347" i="2"/>
  <c r="O346" i="2"/>
  <c r="N346" i="2"/>
  <c r="M346" i="2"/>
  <c r="L346" i="2"/>
  <c r="K346" i="2"/>
  <c r="B346" i="2"/>
  <c r="O345" i="2"/>
  <c r="N345" i="2"/>
  <c r="M345" i="2"/>
  <c r="L345" i="2"/>
  <c r="K345" i="2"/>
  <c r="B345" i="2"/>
  <c r="O344" i="2"/>
  <c r="N344" i="2"/>
  <c r="M344" i="2"/>
  <c r="L344" i="2"/>
  <c r="K344" i="2"/>
  <c r="B344" i="2"/>
  <c r="O343" i="2"/>
  <c r="N343" i="2"/>
  <c r="M343" i="2"/>
  <c r="L343" i="2"/>
  <c r="K343" i="2"/>
  <c r="B343" i="2"/>
  <c r="O342" i="2"/>
  <c r="N342" i="2"/>
  <c r="M342" i="2"/>
  <c r="L342" i="2"/>
  <c r="K342" i="2"/>
  <c r="B342" i="2"/>
  <c r="O341" i="2"/>
  <c r="N341" i="2"/>
  <c r="M341" i="2"/>
  <c r="L341" i="2"/>
  <c r="K341" i="2"/>
  <c r="B341" i="2"/>
  <c r="O340" i="2"/>
  <c r="N340" i="2"/>
  <c r="M340" i="2"/>
  <c r="L340" i="2"/>
  <c r="K340" i="2"/>
  <c r="B340" i="2"/>
  <c r="O339" i="2"/>
  <c r="N339" i="2"/>
  <c r="M339" i="2"/>
  <c r="L339" i="2"/>
  <c r="K339" i="2"/>
  <c r="B339" i="2"/>
  <c r="O338" i="2"/>
  <c r="N338" i="2"/>
  <c r="M338" i="2"/>
  <c r="L338" i="2"/>
  <c r="K338" i="2"/>
  <c r="B338" i="2"/>
  <c r="O337" i="2"/>
  <c r="N337" i="2"/>
  <c r="M337" i="2"/>
  <c r="L337" i="2"/>
  <c r="K337" i="2"/>
  <c r="B337" i="2"/>
  <c r="O336" i="2"/>
  <c r="N336" i="2"/>
  <c r="M336" i="2"/>
  <c r="L336" i="2"/>
  <c r="K336" i="2"/>
  <c r="B336" i="2"/>
  <c r="O335" i="2"/>
  <c r="N335" i="2"/>
  <c r="M335" i="2"/>
  <c r="L335" i="2"/>
  <c r="K335" i="2"/>
  <c r="B335" i="2"/>
  <c r="O334" i="2"/>
  <c r="N334" i="2"/>
  <c r="M334" i="2"/>
  <c r="L334" i="2"/>
  <c r="K334" i="2"/>
  <c r="B334" i="2"/>
  <c r="O333" i="2"/>
  <c r="N333" i="2"/>
  <c r="M333" i="2"/>
  <c r="L333" i="2"/>
  <c r="K333" i="2"/>
  <c r="B333" i="2"/>
  <c r="O332" i="2"/>
  <c r="N332" i="2"/>
  <c r="M332" i="2"/>
  <c r="L332" i="2"/>
  <c r="K332" i="2"/>
  <c r="B332" i="2"/>
  <c r="O331" i="2"/>
  <c r="N331" i="2"/>
  <c r="M331" i="2"/>
  <c r="L331" i="2"/>
  <c r="K331" i="2"/>
  <c r="B331" i="2"/>
  <c r="O330" i="2"/>
  <c r="N330" i="2"/>
  <c r="M330" i="2"/>
  <c r="L330" i="2"/>
  <c r="K330" i="2"/>
  <c r="B330" i="2"/>
  <c r="O329" i="2"/>
  <c r="N329" i="2"/>
  <c r="M329" i="2"/>
  <c r="L329" i="2"/>
  <c r="K329" i="2"/>
  <c r="B329" i="2"/>
  <c r="O328" i="2"/>
  <c r="N328" i="2"/>
  <c r="M328" i="2"/>
  <c r="L328" i="2"/>
  <c r="K328" i="2"/>
  <c r="B328" i="2"/>
  <c r="O327" i="2"/>
  <c r="N327" i="2"/>
  <c r="M327" i="2"/>
  <c r="L327" i="2"/>
  <c r="K327" i="2"/>
  <c r="B327" i="2"/>
  <c r="O326" i="2"/>
  <c r="N326" i="2"/>
  <c r="M326" i="2"/>
  <c r="L326" i="2"/>
  <c r="K326" i="2"/>
  <c r="B326" i="2"/>
  <c r="O325" i="2"/>
  <c r="N325" i="2"/>
  <c r="M325" i="2"/>
  <c r="L325" i="2"/>
  <c r="K325" i="2"/>
  <c r="B325" i="2"/>
  <c r="O324" i="2"/>
  <c r="N324" i="2"/>
  <c r="M324" i="2"/>
  <c r="L324" i="2"/>
  <c r="K324" i="2"/>
  <c r="B324" i="2"/>
  <c r="O323" i="2"/>
  <c r="N323" i="2"/>
  <c r="M323" i="2"/>
  <c r="L323" i="2"/>
  <c r="K323" i="2"/>
  <c r="B323" i="2"/>
  <c r="O322" i="2"/>
  <c r="N322" i="2"/>
  <c r="M322" i="2"/>
  <c r="L322" i="2"/>
  <c r="K322" i="2"/>
  <c r="B322" i="2"/>
  <c r="O321" i="2"/>
  <c r="N321" i="2"/>
  <c r="M321" i="2"/>
  <c r="L321" i="2"/>
  <c r="K321" i="2"/>
  <c r="B321" i="2"/>
  <c r="O320" i="2"/>
  <c r="N320" i="2"/>
  <c r="M320" i="2"/>
  <c r="L320" i="2"/>
  <c r="K320" i="2"/>
  <c r="B320" i="2"/>
  <c r="O319" i="2"/>
  <c r="N319" i="2"/>
  <c r="M319" i="2"/>
  <c r="L319" i="2"/>
  <c r="K319" i="2"/>
  <c r="B319" i="2"/>
  <c r="O318" i="2"/>
  <c r="N318" i="2"/>
  <c r="M318" i="2"/>
  <c r="L318" i="2"/>
  <c r="K318" i="2"/>
  <c r="B318" i="2"/>
  <c r="O317" i="2"/>
  <c r="N317" i="2"/>
  <c r="M317" i="2"/>
  <c r="L317" i="2"/>
  <c r="K317" i="2"/>
  <c r="B317" i="2"/>
  <c r="O316" i="2"/>
  <c r="N316" i="2"/>
  <c r="M316" i="2"/>
  <c r="L316" i="2"/>
  <c r="K316" i="2"/>
  <c r="B316" i="2"/>
  <c r="O315" i="2"/>
  <c r="N315" i="2"/>
  <c r="M315" i="2"/>
  <c r="L315" i="2"/>
  <c r="K315" i="2"/>
  <c r="B315" i="2"/>
  <c r="O314" i="2"/>
  <c r="N314" i="2"/>
  <c r="M314" i="2"/>
  <c r="L314" i="2"/>
  <c r="K314" i="2"/>
  <c r="B314" i="2"/>
  <c r="O313" i="2"/>
  <c r="N313" i="2"/>
  <c r="M313" i="2"/>
  <c r="L313" i="2"/>
  <c r="K313" i="2"/>
  <c r="B313" i="2"/>
  <c r="O312" i="2"/>
  <c r="N312" i="2"/>
  <c r="M312" i="2"/>
  <c r="L312" i="2"/>
  <c r="K312" i="2"/>
  <c r="B312" i="2"/>
  <c r="O311" i="2"/>
  <c r="N311" i="2"/>
  <c r="M311" i="2"/>
  <c r="L311" i="2"/>
  <c r="K311" i="2"/>
  <c r="B311" i="2"/>
  <c r="O310" i="2"/>
  <c r="N310" i="2"/>
  <c r="M310" i="2"/>
  <c r="L310" i="2"/>
  <c r="K310" i="2"/>
  <c r="B310" i="2"/>
  <c r="O309" i="2"/>
  <c r="N309" i="2"/>
  <c r="M309" i="2"/>
  <c r="L309" i="2"/>
  <c r="K309" i="2"/>
  <c r="B309" i="2"/>
  <c r="O308" i="2"/>
  <c r="N308" i="2"/>
  <c r="M308" i="2"/>
  <c r="L308" i="2"/>
  <c r="K308" i="2"/>
  <c r="B308" i="2"/>
  <c r="O307" i="2"/>
  <c r="N307" i="2"/>
  <c r="M307" i="2"/>
  <c r="L307" i="2"/>
  <c r="K307" i="2"/>
  <c r="B307" i="2"/>
  <c r="O306" i="2"/>
  <c r="N306" i="2"/>
  <c r="M306" i="2"/>
  <c r="L306" i="2"/>
  <c r="K306" i="2"/>
  <c r="B306" i="2"/>
  <c r="O305" i="2"/>
  <c r="N305" i="2"/>
  <c r="M305" i="2"/>
  <c r="L305" i="2"/>
  <c r="K305" i="2"/>
  <c r="B305" i="2"/>
  <c r="O304" i="2"/>
  <c r="N304" i="2"/>
  <c r="M304" i="2"/>
  <c r="L304" i="2"/>
  <c r="K304" i="2"/>
  <c r="B304" i="2"/>
  <c r="O303" i="2"/>
  <c r="N303" i="2"/>
  <c r="M303" i="2"/>
  <c r="L303" i="2"/>
  <c r="K303" i="2"/>
  <c r="B303" i="2"/>
  <c r="O302" i="2"/>
  <c r="N302" i="2"/>
  <c r="M302" i="2"/>
  <c r="L302" i="2"/>
  <c r="K302" i="2"/>
  <c r="B302" i="2"/>
  <c r="O301" i="2"/>
  <c r="N301" i="2"/>
  <c r="M301" i="2"/>
  <c r="L301" i="2"/>
  <c r="K301" i="2"/>
  <c r="B301" i="2"/>
  <c r="O300" i="2"/>
  <c r="N300" i="2"/>
  <c r="M300" i="2"/>
  <c r="L300" i="2"/>
  <c r="K300" i="2"/>
  <c r="B300" i="2"/>
  <c r="O299" i="2"/>
  <c r="N299" i="2"/>
  <c r="M299" i="2"/>
  <c r="L299" i="2"/>
  <c r="K299" i="2"/>
  <c r="B299" i="2"/>
  <c r="O298" i="2"/>
  <c r="N298" i="2"/>
  <c r="M298" i="2"/>
  <c r="L298" i="2"/>
  <c r="K298" i="2"/>
  <c r="B298" i="2"/>
  <c r="O297" i="2"/>
  <c r="N297" i="2"/>
  <c r="M297" i="2"/>
  <c r="L297" i="2"/>
  <c r="K297" i="2"/>
  <c r="B297" i="2"/>
  <c r="O296" i="2"/>
  <c r="N296" i="2"/>
  <c r="M296" i="2"/>
  <c r="L296" i="2"/>
  <c r="K296" i="2"/>
  <c r="B296" i="2"/>
  <c r="O295" i="2"/>
  <c r="N295" i="2"/>
  <c r="M295" i="2"/>
  <c r="L295" i="2"/>
  <c r="K295" i="2"/>
  <c r="B295" i="2"/>
  <c r="O294" i="2"/>
  <c r="N294" i="2"/>
  <c r="M294" i="2"/>
  <c r="L294" i="2"/>
  <c r="K294" i="2"/>
  <c r="B294" i="2"/>
  <c r="O293" i="2"/>
  <c r="N293" i="2"/>
  <c r="M293" i="2"/>
  <c r="L293" i="2"/>
  <c r="K293" i="2"/>
  <c r="B293" i="2"/>
  <c r="O292" i="2"/>
  <c r="N292" i="2"/>
  <c r="M292" i="2"/>
  <c r="L292" i="2"/>
  <c r="K292" i="2"/>
  <c r="B292" i="2"/>
  <c r="O291" i="2"/>
  <c r="N291" i="2"/>
  <c r="M291" i="2"/>
  <c r="L291" i="2"/>
  <c r="K291" i="2"/>
  <c r="B291" i="2"/>
  <c r="O290" i="2"/>
  <c r="N290" i="2"/>
  <c r="M290" i="2"/>
  <c r="L290" i="2"/>
  <c r="K290" i="2"/>
  <c r="B290" i="2"/>
  <c r="O289" i="2"/>
  <c r="N289" i="2"/>
  <c r="M289" i="2"/>
  <c r="L289" i="2"/>
  <c r="K289" i="2"/>
  <c r="B289" i="2"/>
  <c r="O288" i="2"/>
  <c r="N288" i="2"/>
  <c r="M288" i="2"/>
  <c r="L288" i="2"/>
  <c r="K288" i="2"/>
  <c r="B288" i="2"/>
  <c r="O287" i="2"/>
  <c r="N287" i="2"/>
  <c r="M287" i="2"/>
  <c r="L287" i="2"/>
  <c r="K287" i="2"/>
  <c r="B287" i="2"/>
  <c r="O286" i="2"/>
  <c r="N286" i="2"/>
  <c r="M286" i="2"/>
  <c r="L286" i="2"/>
  <c r="K286" i="2"/>
  <c r="B286" i="2"/>
  <c r="O285" i="2"/>
  <c r="N285" i="2"/>
  <c r="M285" i="2"/>
  <c r="L285" i="2"/>
  <c r="K285" i="2"/>
  <c r="B285" i="2"/>
  <c r="O284" i="2"/>
  <c r="N284" i="2"/>
  <c r="M284" i="2"/>
  <c r="L284" i="2"/>
  <c r="K284" i="2"/>
  <c r="B284" i="2"/>
  <c r="O283" i="2"/>
  <c r="N283" i="2"/>
  <c r="M283" i="2"/>
  <c r="L283" i="2"/>
  <c r="K283" i="2"/>
  <c r="B283" i="2"/>
  <c r="O282" i="2"/>
  <c r="N282" i="2"/>
  <c r="M282" i="2"/>
  <c r="L282" i="2"/>
  <c r="K282" i="2"/>
  <c r="B282" i="2"/>
  <c r="O281" i="2"/>
  <c r="N281" i="2"/>
  <c r="M281" i="2"/>
  <c r="L281" i="2"/>
  <c r="K281" i="2"/>
  <c r="B281" i="2"/>
  <c r="O280" i="2"/>
  <c r="N280" i="2"/>
  <c r="M280" i="2"/>
  <c r="L280" i="2"/>
  <c r="K280" i="2"/>
  <c r="B280" i="2"/>
  <c r="O279" i="2"/>
  <c r="N279" i="2"/>
  <c r="M279" i="2"/>
  <c r="L279" i="2"/>
  <c r="K279" i="2"/>
  <c r="B279" i="2"/>
  <c r="O278" i="2"/>
  <c r="N278" i="2"/>
  <c r="M278" i="2"/>
  <c r="L278" i="2"/>
  <c r="K278" i="2"/>
  <c r="B278" i="2"/>
  <c r="O277" i="2"/>
  <c r="N277" i="2"/>
  <c r="M277" i="2"/>
  <c r="L277" i="2"/>
  <c r="K277" i="2"/>
  <c r="B277" i="2"/>
  <c r="O276" i="2"/>
  <c r="N276" i="2"/>
  <c r="M276" i="2"/>
  <c r="L276" i="2"/>
  <c r="K276" i="2"/>
  <c r="B276" i="2"/>
  <c r="O275" i="2"/>
  <c r="N275" i="2"/>
  <c r="M275" i="2"/>
  <c r="L275" i="2"/>
  <c r="K275" i="2"/>
  <c r="B275" i="2"/>
  <c r="O274" i="2"/>
  <c r="N274" i="2"/>
  <c r="M274" i="2"/>
  <c r="L274" i="2"/>
  <c r="K274" i="2"/>
  <c r="B274" i="2"/>
  <c r="O273" i="2"/>
  <c r="N273" i="2"/>
  <c r="M273" i="2"/>
  <c r="L273" i="2"/>
  <c r="K273" i="2"/>
  <c r="B273" i="2"/>
  <c r="O272" i="2"/>
  <c r="N272" i="2"/>
  <c r="M272" i="2"/>
  <c r="L272" i="2"/>
  <c r="K272" i="2"/>
  <c r="B272" i="2"/>
  <c r="O271" i="2"/>
  <c r="N271" i="2"/>
  <c r="M271" i="2"/>
  <c r="L271" i="2"/>
  <c r="K271" i="2"/>
  <c r="B271" i="2"/>
  <c r="O270" i="2"/>
  <c r="N270" i="2"/>
  <c r="M270" i="2"/>
  <c r="L270" i="2"/>
  <c r="K270" i="2"/>
  <c r="B270" i="2"/>
  <c r="O269" i="2"/>
  <c r="N269" i="2"/>
  <c r="M269" i="2"/>
  <c r="L269" i="2"/>
  <c r="K269" i="2"/>
  <c r="B269" i="2"/>
  <c r="O268" i="2"/>
  <c r="N268" i="2"/>
  <c r="M268" i="2"/>
  <c r="L268" i="2"/>
  <c r="K268" i="2"/>
  <c r="B268" i="2"/>
  <c r="O267" i="2"/>
  <c r="N267" i="2"/>
  <c r="M267" i="2"/>
  <c r="L267" i="2"/>
  <c r="K267" i="2"/>
  <c r="B267" i="2"/>
  <c r="O266" i="2"/>
  <c r="N266" i="2"/>
  <c r="M266" i="2"/>
  <c r="L266" i="2"/>
  <c r="K266" i="2"/>
  <c r="B266" i="2"/>
  <c r="O265" i="2"/>
  <c r="N265" i="2"/>
  <c r="M265" i="2"/>
  <c r="L265" i="2"/>
  <c r="K265" i="2"/>
  <c r="B265" i="2"/>
  <c r="O264" i="2"/>
  <c r="N264" i="2"/>
  <c r="M264" i="2"/>
  <c r="L264" i="2"/>
  <c r="K264" i="2"/>
  <c r="B264" i="2"/>
  <c r="O263" i="2"/>
  <c r="N263" i="2"/>
  <c r="M263" i="2"/>
  <c r="L263" i="2"/>
  <c r="K263" i="2"/>
  <c r="B263" i="2"/>
  <c r="O262" i="2"/>
  <c r="N262" i="2"/>
  <c r="M262" i="2"/>
  <c r="L262" i="2"/>
  <c r="K262" i="2"/>
  <c r="B262" i="2"/>
  <c r="O261" i="2"/>
  <c r="N261" i="2"/>
  <c r="M261" i="2"/>
  <c r="L261" i="2"/>
  <c r="K261" i="2"/>
  <c r="B261" i="2"/>
  <c r="O260" i="2"/>
  <c r="N260" i="2"/>
  <c r="M260" i="2"/>
  <c r="L260" i="2"/>
  <c r="K260" i="2"/>
  <c r="B260" i="2"/>
  <c r="O259" i="2"/>
  <c r="N259" i="2"/>
  <c r="M259" i="2"/>
  <c r="L259" i="2"/>
  <c r="K259" i="2"/>
  <c r="B259" i="2"/>
  <c r="O258" i="2"/>
  <c r="N258" i="2"/>
  <c r="M258" i="2"/>
  <c r="L258" i="2"/>
  <c r="K258" i="2"/>
  <c r="B258" i="2"/>
  <c r="O257" i="2"/>
  <c r="N257" i="2"/>
  <c r="M257" i="2"/>
  <c r="L257" i="2"/>
  <c r="K257" i="2"/>
  <c r="B257" i="2"/>
  <c r="O256" i="2"/>
  <c r="N256" i="2"/>
  <c r="M256" i="2"/>
  <c r="L256" i="2"/>
  <c r="K256" i="2"/>
  <c r="B256" i="2"/>
  <c r="O255" i="2"/>
  <c r="N255" i="2"/>
  <c r="M255" i="2"/>
  <c r="L255" i="2"/>
  <c r="K255" i="2"/>
  <c r="B255" i="2"/>
  <c r="O254" i="2"/>
  <c r="N254" i="2"/>
  <c r="M254" i="2"/>
  <c r="L254" i="2"/>
  <c r="K254" i="2"/>
  <c r="B254" i="2"/>
  <c r="O253" i="2"/>
  <c r="N253" i="2"/>
  <c r="M253" i="2"/>
  <c r="L253" i="2"/>
  <c r="K253" i="2"/>
  <c r="B253" i="2"/>
  <c r="O252" i="2"/>
  <c r="N252" i="2"/>
  <c r="M252" i="2"/>
  <c r="L252" i="2"/>
  <c r="K252" i="2"/>
  <c r="B252" i="2"/>
  <c r="O251" i="2"/>
  <c r="N251" i="2"/>
  <c r="M251" i="2"/>
  <c r="L251" i="2"/>
  <c r="K251" i="2"/>
  <c r="B251" i="2"/>
  <c r="O250" i="2"/>
  <c r="N250" i="2"/>
  <c r="M250" i="2"/>
  <c r="L250" i="2"/>
  <c r="K250" i="2"/>
  <c r="B250" i="2"/>
  <c r="O249" i="2"/>
  <c r="N249" i="2"/>
  <c r="M249" i="2"/>
  <c r="L249" i="2"/>
  <c r="K249" i="2"/>
  <c r="B249" i="2"/>
  <c r="O248" i="2"/>
  <c r="N248" i="2"/>
  <c r="M248" i="2"/>
  <c r="L248" i="2"/>
  <c r="K248" i="2"/>
  <c r="B248" i="2"/>
  <c r="O247" i="2"/>
  <c r="N247" i="2"/>
  <c r="M247" i="2"/>
  <c r="L247" i="2"/>
  <c r="K247" i="2"/>
  <c r="B247" i="2"/>
  <c r="O246" i="2"/>
  <c r="N246" i="2"/>
  <c r="M246" i="2"/>
  <c r="L246" i="2"/>
  <c r="K246" i="2"/>
  <c r="B246" i="2"/>
  <c r="O245" i="2"/>
  <c r="N245" i="2"/>
  <c r="M245" i="2"/>
  <c r="L245" i="2"/>
  <c r="K245" i="2"/>
  <c r="B245" i="2"/>
  <c r="O244" i="2"/>
  <c r="N244" i="2"/>
  <c r="M244" i="2"/>
  <c r="L244" i="2"/>
  <c r="K244" i="2"/>
  <c r="B244" i="2"/>
  <c r="O243" i="2"/>
  <c r="N243" i="2"/>
  <c r="M243" i="2"/>
  <c r="L243" i="2"/>
  <c r="K243" i="2"/>
  <c r="B243" i="2"/>
  <c r="O242" i="2"/>
  <c r="N242" i="2"/>
  <c r="M242" i="2"/>
  <c r="L242" i="2"/>
  <c r="K242" i="2"/>
  <c r="B242" i="2"/>
  <c r="O241" i="2"/>
  <c r="N241" i="2"/>
  <c r="M241" i="2"/>
  <c r="L241" i="2"/>
  <c r="K241" i="2"/>
  <c r="B241" i="2"/>
  <c r="O240" i="2"/>
  <c r="N240" i="2"/>
  <c r="M240" i="2"/>
  <c r="L240" i="2"/>
  <c r="K240" i="2"/>
  <c r="B240" i="2"/>
  <c r="O239" i="2"/>
  <c r="N239" i="2"/>
  <c r="M239" i="2"/>
  <c r="L239" i="2"/>
  <c r="K239" i="2"/>
  <c r="B239" i="2"/>
  <c r="O238" i="2"/>
  <c r="N238" i="2"/>
  <c r="M238" i="2"/>
  <c r="L238" i="2"/>
  <c r="K238" i="2"/>
  <c r="B238" i="2"/>
  <c r="O237" i="2"/>
  <c r="N237" i="2"/>
  <c r="M237" i="2"/>
  <c r="L237" i="2"/>
  <c r="K237" i="2"/>
  <c r="B237" i="2"/>
  <c r="O236" i="2"/>
  <c r="N236" i="2"/>
  <c r="M236" i="2"/>
  <c r="L236" i="2"/>
  <c r="K236" i="2"/>
  <c r="B236" i="2"/>
  <c r="O235" i="2"/>
  <c r="N235" i="2"/>
  <c r="M235" i="2"/>
  <c r="L235" i="2"/>
  <c r="K235" i="2"/>
  <c r="B235" i="2"/>
  <c r="O234" i="2"/>
  <c r="N234" i="2"/>
  <c r="M234" i="2"/>
  <c r="L234" i="2"/>
  <c r="K234" i="2"/>
  <c r="B234" i="2"/>
  <c r="O233" i="2"/>
  <c r="N233" i="2"/>
  <c r="M233" i="2"/>
  <c r="L233" i="2"/>
  <c r="K233" i="2"/>
  <c r="B233" i="2"/>
  <c r="O232" i="2"/>
  <c r="N232" i="2"/>
  <c r="M232" i="2"/>
  <c r="L232" i="2"/>
  <c r="K232" i="2"/>
  <c r="B232" i="2"/>
  <c r="O231" i="2"/>
  <c r="N231" i="2"/>
  <c r="M231" i="2"/>
  <c r="L231" i="2"/>
  <c r="K231" i="2"/>
  <c r="B231" i="2"/>
  <c r="O230" i="2"/>
  <c r="N230" i="2"/>
  <c r="M230" i="2"/>
  <c r="L230" i="2"/>
  <c r="K230" i="2"/>
  <c r="B230" i="2"/>
  <c r="O229" i="2"/>
  <c r="N229" i="2"/>
  <c r="M229" i="2"/>
  <c r="L229" i="2"/>
  <c r="K229" i="2"/>
  <c r="B229" i="2"/>
  <c r="O228" i="2"/>
  <c r="N228" i="2"/>
  <c r="M228" i="2"/>
  <c r="L228" i="2"/>
  <c r="K228" i="2"/>
  <c r="B228" i="2"/>
  <c r="O227" i="2"/>
  <c r="N227" i="2"/>
  <c r="M227" i="2"/>
  <c r="L227" i="2"/>
  <c r="K227" i="2"/>
  <c r="B227" i="2"/>
  <c r="O226" i="2"/>
  <c r="N226" i="2"/>
  <c r="M226" i="2"/>
  <c r="L226" i="2"/>
  <c r="K226" i="2"/>
  <c r="B226" i="2"/>
  <c r="O225" i="2"/>
  <c r="N225" i="2"/>
  <c r="M225" i="2"/>
  <c r="L225" i="2"/>
  <c r="K225" i="2"/>
  <c r="B225" i="2"/>
  <c r="O224" i="2"/>
  <c r="N224" i="2"/>
  <c r="M224" i="2"/>
  <c r="L224" i="2"/>
  <c r="K224" i="2"/>
  <c r="B224" i="2"/>
  <c r="O223" i="2"/>
  <c r="N223" i="2"/>
  <c r="M223" i="2"/>
  <c r="L223" i="2"/>
  <c r="K223" i="2"/>
  <c r="B223" i="2"/>
  <c r="O222" i="2"/>
  <c r="N222" i="2"/>
  <c r="M222" i="2"/>
  <c r="L222" i="2"/>
  <c r="K222" i="2"/>
  <c r="B222" i="2"/>
  <c r="O221" i="2"/>
  <c r="N221" i="2"/>
  <c r="M221" i="2"/>
  <c r="L221" i="2"/>
  <c r="K221" i="2"/>
  <c r="B221" i="2"/>
  <c r="O220" i="2"/>
  <c r="N220" i="2"/>
  <c r="M220" i="2"/>
  <c r="L220" i="2"/>
  <c r="K220" i="2"/>
  <c r="B220" i="2"/>
  <c r="O219" i="2"/>
  <c r="N219" i="2"/>
  <c r="M219" i="2"/>
  <c r="L219" i="2"/>
  <c r="K219" i="2"/>
  <c r="B219" i="2"/>
  <c r="O218" i="2"/>
  <c r="N218" i="2"/>
  <c r="M218" i="2"/>
  <c r="L218" i="2"/>
  <c r="K218" i="2"/>
  <c r="B218" i="2"/>
  <c r="O217" i="2"/>
  <c r="N217" i="2"/>
  <c r="M217" i="2"/>
  <c r="L217" i="2"/>
  <c r="K217" i="2"/>
  <c r="B217" i="2"/>
  <c r="O216" i="2"/>
  <c r="N216" i="2"/>
  <c r="M216" i="2"/>
  <c r="L216" i="2"/>
  <c r="K216" i="2"/>
  <c r="B216" i="2"/>
  <c r="O215" i="2"/>
  <c r="N215" i="2"/>
  <c r="M215" i="2"/>
  <c r="L215" i="2"/>
  <c r="K215" i="2"/>
  <c r="B215" i="2"/>
  <c r="O214" i="2"/>
  <c r="N214" i="2"/>
  <c r="M214" i="2"/>
  <c r="L214" i="2"/>
  <c r="K214" i="2"/>
  <c r="B214" i="2"/>
  <c r="O213" i="2"/>
  <c r="N213" i="2"/>
  <c r="M213" i="2"/>
  <c r="L213" i="2"/>
  <c r="K213" i="2"/>
  <c r="B213" i="2"/>
  <c r="O212" i="2"/>
  <c r="N212" i="2"/>
  <c r="M212" i="2"/>
  <c r="L212" i="2"/>
  <c r="K212" i="2"/>
  <c r="B212" i="2"/>
  <c r="O211" i="2"/>
  <c r="N211" i="2"/>
  <c r="M211" i="2"/>
  <c r="L211" i="2"/>
  <c r="K211" i="2"/>
  <c r="B211" i="2"/>
  <c r="O210" i="2"/>
  <c r="N210" i="2"/>
  <c r="M210" i="2"/>
  <c r="L210" i="2"/>
  <c r="K210" i="2"/>
  <c r="B210" i="2"/>
  <c r="O209" i="2"/>
  <c r="N209" i="2"/>
  <c r="M209" i="2"/>
  <c r="L209" i="2"/>
  <c r="K209" i="2"/>
  <c r="B209" i="2"/>
  <c r="O208" i="2"/>
  <c r="N208" i="2"/>
  <c r="M208" i="2"/>
  <c r="L208" i="2"/>
  <c r="K208" i="2"/>
  <c r="B208" i="2"/>
  <c r="O207" i="2"/>
  <c r="N207" i="2"/>
  <c r="M207" i="2"/>
  <c r="L207" i="2"/>
  <c r="K207" i="2"/>
  <c r="B207" i="2"/>
  <c r="O206" i="2"/>
  <c r="N206" i="2"/>
  <c r="M206" i="2"/>
  <c r="L206" i="2"/>
  <c r="K206" i="2"/>
  <c r="B206" i="2"/>
  <c r="O205" i="2"/>
  <c r="N205" i="2"/>
  <c r="M205" i="2"/>
  <c r="L205" i="2"/>
  <c r="K205" i="2"/>
  <c r="B205" i="2"/>
  <c r="O204" i="2"/>
  <c r="N204" i="2"/>
  <c r="M204" i="2"/>
  <c r="L204" i="2"/>
  <c r="K204" i="2"/>
  <c r="B204" i="2"/>
  <c r="O203" i="2"/>
  <c r="N203" i="2"/>
  <c r="M203" i="2"/>
  <c r="L203" i="2"/>
  <c r="K203" i="2"/>
  <c r="B203" i="2"/>
  <c r="O202" i="2"/>
  <c r="N202" i="2"/>
  <c r="M202" i="2"/>
  <c r="L202" i="2"/>
  <c r="K202" i="2"/>
  <c r="B202" i="2"/>
  <c r="O201" i="2"/>
  <c r="N201" i="2"/>
  <c r="M201" i="2"/>
  <c r="L201" i="2"/>
  <c r="K201" i="2"/>
  <c r="B201" i="2"/>
  <c r="O200" i="2"/>
  <c r="N200" i="2"/>
  <c r="M200" i="2"/>
  <c r="L200" i="2"/>
  <c r="K200" i="2"/>
  <c r="B200" i="2"/>
  <c r="O199" i="2"/>
  <c r="N199" i="2"/>
  <c r="M199" i="2"/>
  <c r="L199" i="2"/>
  <c r="K199" i="2"/>
  <c r="B199" i="2"/>
  <c r="O198" i="2"/>
  <c r="N198" i="2"/>
  <c r="M198" i="2"/>
  <c r="L198" i="2"/>
  <c r="K198" i="2"/>
  <c r="B198" i="2"/>
  <c r="O197" i="2"/>
  <c r="N197" i="2"/>
  <c r="M197" i="2"/>
  <c r="L197" i="2"/>
  <c r="K197" i="2"/>
  <c r="B197" i="2"/>
  <c r="O196" i="2"/>
  <c r="N196" i="2"/>
  <c r="M196" i="2"/>
  <c r="L196" i="2"/>
  <c r="K196" i="2"/>
  <c r="B196" i="2"/>
  <c r="O195" i="2"/>
  <c r="N195" i="2"/>
  <c r="M195" i="2"/>
  <c r="L195" i="2"/>
  <c r="K195" i="2"/>
  <c r="B195" i="2"/>
  <c r="O194" i="2"/>
  <c r="N194" i="2"/>
  <c r="M194" i="2"/>
  <c r="L194" i="2"/>
  <c r="K194" i="2"/>
  <c r="B194" i="2"/>
  <c r="O193" i="2"/>
  <c r="N193" i="2"/>
  <c r="M193" i="2"/>
  <c r="L193" i="2"/>
  <c r="K193" i="2"/>
  <c r="B193" i="2"/>
  <c r="O192" i="2"/>
  <c r="N192" i="2"/>
  <c r="M192" i="2"/>
  <c r="L192" i="2"/>
  <c r="K192" i="2"/>
  <c r="B192" i="2"/>
  <c r="O191" i="2"/>
  <c r="N191" i="2"/>
  <c r="M191" i="2"/>
  <c r="L191" i="2"/>
  <c r="K191" i="2"/>
  <c r="B191" i="2"/>
  <c r="O190" i="2"/>
  <c r="N190" i="2"/>
  <c r="M190" i="2"/>
  <c r="L190" i="2"/>
  <c r="K190" i="2"/>
  <c r="B190" i="2"/>
  <c r="O189" i="2"/>
  <c r="N189" i="2"/>
  <c r="M189" i="2"/>
  <c r="L189" i="2"/>
  <c r="K189" i="2"/>
  <c r="B189" i="2"/>
  <c r="O188" i="2"/>
  <c r="N188" i="2"/>
  <c r="M188" i="2"/>
  <c r="L188" i="2"/>
  <c r="K188" i="2"/>
  <c r="B188" i="2"/>
  <c r="O187" i="2"/>
  <c r="N187" i="2"/>
  <c r="M187" i="2"/>
  <c r="L187" i="2"/>
  <c r="K187" i="2"/>
  <c r="B187" i="2"/>
  <c r="O186" i="2"/>
  <c r="N186" i="2"/>
  <c r="M186" i="2"/>
  <c r="L186" i="2"/>
  <c r="K186" i="2"/>
  <c r="B186" i="2"/>
  <c r="O185" i="2"/>
  <c r="N185" i="2"/>
  <c r="M185" i="2"/>
  <c r="L185" i="2"/>
  <c r="K185" i="2"/>
  <c r="B185" i="2"/>
  <c r="O184" i="2"/>
  <c r="N184" i="2"/>
  <c r="M184" i="2"/>
  <c r="L184" i="2"/>
  <c r="K184" i="2"/>
  <c r="B184" i="2"/>
  <c r="O183" i="2"/>
  <c r="N183" i="2"/>
  <c r="M183" i="2"/>
  <c r="L183" i="2"/>
  <c r="K183" i="2"/>
  <c r="B183" i="2"/>
  <c r="O182" i="2"/>
  <c r="N182" i="2"/>
  <c r="M182" i="2"/>
  <c r="L182" i="2"/>
  <c r="K182" i="2"/>
  <c r="B182" i="2"/>
  <c r="O181" i="2"/>
  <c r="N181" i="2"/>
  <c r="M181" i="2"/>
  <c r="L181" i="2"/>
  <c r="K181" i="2"/>
  <c r="B181" i="2"/>
  <c r="O180" i="2"/>
  <c r="N180" i="2"/>
  <c r="M180" i="2"/>
  <c r="L180" i="2"/>
  <c r="K180" i="2"/>
  <c r="B180" i="2"/>
  <c r="O179" i="2"/>
  <c r="N179" i="2"/>
  <c r="M179" i="2"/>
  <c r="L179" i="2"/>
  <c r="K179" i="2"/>
  <c r="B179" i="2"/>
  <c r="O178" i="2"/>
  <c r="N178" i="2"/>
  <c r="M178" i="2"/>
  <c r="L178" i="2"/>
  <c r="K178" i="2"/>
  <c r="B178" i="2"/>
  <c r="O177" i="2"/>
  <c r="N177" i="2"/>
  <c r="M177" i="2"/>
  <c r="L177" i="2"/>
  <c r="K177" i="2"/>
  <c r="B177" i="2"/>
  <c r="O176" i="2"/>
  <c r="N176" i="2"/>
  <c r="M176" i="2"/>
  <c r="L176" i="2"/>
  <c r="K176" i="2"/>
  <c r="B176" i="2"/>
  <c r="O175" i="2"/>
  <c r="N175" i="2"/>
  <c r="M175" i="2"/>
  <c r="L175" i="2"/>
  <c r="K175" i="2"/>
  <c r="B175" i="2"/>
  <c r="O174" i="2"/>
  <c r="N174" i="2"/>
  <c r="M174" i="2"/>
  <c r="L174" i="2"/>
  <c r="K174" i="2"/>
  <c r="B174" i="2"/>
  <c r="O173" i="2"/>
  <c r="N173" i="2"/>
  <c r="M173" i="2"/>
  <c r="L173" i="2"/>
  <c r="K173" i="2"/>
  <c r="B173" i="2"/>
  <c r="O172" i="2"/>
  <c r="N172" i="2"/>
  <c r="M172" i="2"/>
  <c r="L172" i="2"/>
  <c r="K172" i="2"/>
  <c r="B172" i="2"/>
  <c r="O171" i="2"/>
  <c r="N171" i="2"/>
  <c r="M171" i="2"/>
  <c r="L171" i="2"/>
  <c r="K171" i="2"/>
  <c r="B171" i="2"/>
  <c r="O170" i="2"/>
  <c r="N170" i="2"/>
  <c r="M170" i="2"/>
  <c r="L170" i="2"/>
  <c r="K170" i="2"/>
  <c r="B170" i="2"/>
  <c r="O169" i="2"/>
  <c r="N169" i="2"/>
  <c r="M169" i="2"/>
  <c r="L169" i="2"/>
  <c r="K169" i="2"/>
  <c r="B169" i="2"/>
  <c r="O168" i="2"/>
  <c r="N168" i="2"/>
  <c r="M168" i="2"/>
  <c r="L168" i="2"/>
  <c r="K168" i="2"/>
  <c r="B168" i="2"/>
  <c r="O167" i="2"/>
  <c r="N167" i="2"/>
  <c r="M167" i="2"/>
  <c r="L167" i="2"/>
  <c r="K167" i="2"/>
  <c r="B167" i="2"/>
  <c r="O166" i="2"/>
  <c r="N166" i="2"/>
  <c r="M166" i="2"/>
  <c r="L166" i="2"/>
  <c r="K166" i="2"/>
  <c r="B166" i="2"/>
  <c r="O165" i="2"/>
  <c r="N165" i="2"/>
  <c r="M165" i="2"/>
  <c r="L165" i="2"/>
  <c r="K165" i="2"/>
  <c r="B165" i="2"/>
  <c r="O164" i="2"/>
  <c r="N164" i="2"/>
  <c r="M164" i="2"/>
  <c r="L164" i="2"/>
  <c r="K164" i="2"/>
  <c r="B164" i="2"/>
  <c r="O163" i="2"/>
  <c r="N163" i="2"/>
  <c r="M163" i="2"/>
  <c r="L163" i="2"/>
  <c r="K163" i="2"/>
  <c r="B163" i="2"/>
  <c r="O162" i="2"/>
  <c r="N162" i="2"/>
  <c r="M162" i="2"/>
  <c r="L162" i="2"/>
  <c r="K162" i="2"/>
  <c r="B162" i="2"/>
  <c r="O161" i="2"/>
  <c r="N161" i="2"/>
  <c r="M161" i="2"/>
  <c r="L161" i="2"/>
  <c r="K161" i="2"/>
  <c r="B161" i="2"/>
  <c r="O160" i="2"/>
  <c r="N160" i="2"/>
  <c r="M160" i="2"/>
  <c r="L160" i="2"/>
  <c r="K160" i="2"/>
  <c r="B160" i="2"/>
  <c r="O159" i="2"/>
  <c r="N159" i="2"/>
  <c r="M159" i="2"/>
  <c r="L159" i="2"/>
  <c r="K159" i="2"/>
  <c r="B159" i="2"/>
  <c r="O158" i="2"/>
  <c r="N158" i="2"/>
  <c r="M158" i="2"/>
  <c r="L158" i="2"/>
  <c r="K158" i="2"/>
  <c r="B158" i="2"/>
  <c r="O157" i="2"/>
  <c r="N157" i="2"/>
  <c r="M157" i="2"/>
  <c r="L157" i="2"/>
  <c r="K157" i="2"/>
  <c r="B157" i="2"/>
  <c r="O156" i="2"/>
  <c r="N156" i="2"/>
  <c r="M156" i="2"/>
  <c r="L156" i="2"/>
  <c r="K156" i="2"/>
  <c r="B156" i="2"/>
  <c r="O155" i="2"/>
  <c r="N155" i="2"/>
  <c r="M155" i="2"/>
  <c r="L155" i="2"/>
  <c r="K155" i="2"/>
  <c r="B155" i="2"/>
  <c r="O154" i="2"/>
  <c r="N154" i="2"/>
  <c r="M154" i="2"/>
  <c r="L154" i="2"/>
  <c r="K154" i="2"/>
  <c r="B154" i="2"/>
  <c r="O153" i="2"/>
  <c r="N153" i="2"/>
  <c r="M153" i="2"/>
  <c r="L153" i="2"/>
  <c r="K153" i="2"/>
  <c r="B153" i="2"/>
  <c r="O152" i="2"/>
  <c r="N152" i="2"/>
  <c r="M152" i="2"/>
  <c r="L152" i="2"/>
  <c r="K152" i="2"/>
  <c r="B152" i="2"/>
  <c r="O151" i="2"/>
  <c r="N151" i="2"/>
  <c r="M151" i="2"/>
  <c r="L151" i="2"/>
  <c r="K151" i="2"/>
  <c r="B151" i="2"/>
  <c r="O150" i="2"/>
  <c r="N150" i="2"/>
  <c r="M150" i="2"/>
  <c r="L150" i="2"/>
  <c r="K150" i="2"/>
  <c r="B150" i="2"/>
  <c r="O149" i="2"/>
  <c r="N149" i="2"/>
  <c r="M149" i="2"/>
  <c r="L149" i="2"/>
  <c r="K149" i="2"/>
  <c r="B149" i="2"/>
  <c r="O148" i="2"/>
  <c r="N148" i="2"/>
  <c r="M148" i="2"/>
  <c r="L148" i="2"/>
  <c r="K148" i="2"/>
  <c r="B148" i="2"/>
  <c r="O147" i="2"/>
  <c r="N147" i="2"/>
  <c r="M147" i="2"/>
  <c r="L147" i="2"/>
  <c r="K147" i="2"/>
  <c r="B147" i="2"/>
  <c r="O146" i="2"/>
  <c r="N146" i="2"/>
  <c r="M146" i="2"/>
  <c r="L146" i="2"/>
  <c r="K146" i="2"/>
  <c r="B146" i="2"/>
  <c r="O145" i="2"/>
  <c r="N145" i="2"/>
  <c r="M145" i="2"/>
  <c r="L145" i="2"/>
  <c r="K145" i="2"/>
  <c r="B145" i="2"/>
  <c r="O144" i="2"/>
  <c r="N144" i="2"/>
  <c r="M144" i="2"/>
  <c r="L144" i="2"/>
  <c r="K144" i="2"/>
  <c r="B144" i="2"/>
  <c r="O143" i="2"/>
  <c r="N143" i="2"/>
  <c r="M143" i="2"/>
  <c r="L143" i="2"/>
  <c r="K143" i="2"/>
  <c r="B143" i="2"/>
  <c r="O142" i="2"/>
  <c r="N142" i="2"/>
  <c r="M142" i="2"/>
  <c r="L142" i="2"/>
  <c r="K142" i="2"/>
  <c r="B142" i="2"/>
  <c r="O141" i="2"/>
  <c r="N141" i="2"/>
  <c r="M141" i="2"/>
  <c r="L141" i="2"/>
  <c r="K141" i="2"/>
  <c r="B141" i="2"/>
  <c r="O140" i="2"/>
  <c r="N140" i="2"/>
  <c r="M140" i="2"/>
  <c r="L140" i="2"/>
  <c r="K140" i="2"/>
  <c r="B140" i="2"/>
  <c r="O139" i="2"/>
  <c r="N139" i="2"/>
  <c r="M139" i="2"/>
  <c r="L139" i="2"/>
  <c r="K139" i="2"/>
  <c r="B139" i="2"/>
  <c r="O138" i="2"/>
  <c r="N138" i="2"/>
  <c r="M138" i="2"/>
  <c r="L138" i="2"/>
  <c r="K138" i="2"/>
  <c r="B138" i="2"/>
  <c r="O137" i="2"/>
  <c r="N137" i="2"/>
  <c r="M137" i="2"/>
  <c r="L137" i="2"/>
  <c r="K137" i="2"/>
  <c r="B137" i="2"/>
  <c r="O136" i="2"/>
  <c r="N136" i="2"/>
  <c r="M136" i="2"/>
  <c r="L136" i="2"/>
  <c r="K136" i="2"/>
  <c r="B136" i="2"/>
  <c r="O135" i="2"/>
  <c r="N135" i="2"/>
  <c r="M135" i="2"/>
  <c r="L135" i="2"/>
  <c r="K135" i="2"/>
  <c r="B135" i="2"/>
  <c r="O134" i="2"/>
  <c r="N134" i="2"/>
  <c r="M134" i="2"/>
  <c r="L134" i="2"/>
  <c r="K134" i="2"/>
  <c r="B134" i="2"/>
  <c r="O133" i="2"/>
  <c r="N133" i="2"/>
  <c r="M133" i="2"/>
  <c r="L133" i="2"/>
  <c r="K133" i="2"/>
  <c r="B133" i="2"/>
  <c r="O132" i="2"/>
  <c r="N132" i="2"/>
  <c r="M132" i="2"/>
  <c r="L132" i="2"/>
  <c r="K132" i="2"/>
  <c r="B132" i="2"/>
  <c r="O131" i="2"/>
  <c r="N131" i="2"/>
  <c r="M131" i="2"/>
  <c r="L131" i="2"/>
  <c r="K131" i="2"/>
  <c r="B131" i="2"/>
  <c r="O130" i="2"/>
  <c r="N130" i="2"/>
  <c r="M130" i="2"/>
  <c r="L130" i="2"/>
  <c r="K130" i="2"/>
  <c r="B130" i="2"/>
  <c r="O129" i="2"/>
  <c r="N129" i="2"/>
  <c r="M129" i="2"/>
  <c r="L129" i="2"/>
  <c r="K129" i="2"/>
  <c r="B129" i="2"/>
  <c r="O128" i="2"/>
  <c r="N128" i="2"/>
  <c r="M128" i="2"/>
  <c r="L128" i="2"/>
  <c r="K128" i="2"/>
  <c r="B128" i="2"/>
  <c r="O127" i="2"/>
  <c r="N127" i="2"/>
  <c r="M127" i="2"/>
  <c r="L127" i="2"/>
  <c r="K127" i="2"/>
  <c r="B127" i="2"/>
  <c r="O126" i="2"/>
  <c r="N126" i="2"/>
  <c r="M126" i="2"/>
  <c r="L126" i="2"/>
  <c r="K126" i="2"/>
  <c r="B126" i="2"/>
  <c r="O125" i="2"/>
  <c r="N125" i="2"/>
  <c r="M125" i="2"/>
  <c r="L125" i="2"/>
  <c r="K125" i="2"/>
  <c r="B125" i="2"/>
  <c r="O124" i="2"/>
  <c r="N124" i="2"/>
  <c r="M124" i="2"/>
  <c r="L124" i="2"/>
  <c r="K124" i="2"/>
  <c r="B124" i="2"/>
  <c r="O123" i="2"/>
  <c r="N123" i="2"/>
  <c r="M123" i="2"/>
  <c r="L123" i="2"/>
  <c r="K123" i="2"/>
  <c r="B123" i="2"/>
  <c r="O122" i="2"/>
  <c r="N122" i="2"/>
  <c r="M122" i="2"/>
  <c r="L122" i="2"/>
  <c r="K122" i="2"/>
  <c r="B122" i="2"/>
  <c r="O121" i="2"/>
  <c r="N121" i="2"/>
  <c r="M121" i="2"/>
  <c r="L121" i="2"/>
  <c r="K121" i="2"/>
  <c r="B121" i="2"/>
  <c r="O120" i="2"/>
  <c r="N120" i="2"/>
  <c r="M120" i="2"/>
  <c r="L120" i="2"/>
  <c r="K120" i="2"/>
  <c r="B120" i="2"/>
  <c r="O119" i="2"/>
  <c r="N119" i="2"/>
  <c r="M119" i="2"/>
  <c r="L119" i="2"/>
  <c r="K119" i="2"/>
  <c r="B119" i="2"/>
  <c r="O118" i="2"/>
  <c r="N118" i="2"/>
  <c r="M118" i="2"/>
  <c r="L118" i="2"/>
  <c r="K118" i="2"/>
  <c r="B118" i="2"/>
  <c r="O117" i="2"/>
  <c r="N117" i="2"/>
  <c r="M117" i="2"/>
  <c r="L117" i="2"/>
  <c r="K117" i="2"/>
  <c r="B117" i="2"/>
  <c r="O116" i="2"/>
  <c r="N116" i="2"/>
  <c r="M116" i="2"/>
  <c r="L116" i="2"/>
  <c r="K116" i="2"/>
  <c r="B116" i="2"/>
  <c r="O115" i="2"/>
  <c r="N115" i="2"/>
  <c r="M115" i="2"/>
  <c r="L115" i="2"/>
  <c r="K115" i="2"/>
  <c r="B115" i="2"/>
  <c r="O114" i="2"/>
  <c r="N114" i="2"/>
  <c r="M114" i="2"/>
  <c r="L114" i="2"/>
  <c r="K114" i="2"/>
  <c r="B114" i="2"/>
  <c r="O113" i="2"/>
  <c r="N113" i="2"/>
  <c r="M113" i="2"/>
  <c r="L113" i="2"/>
  <c r="K113" i="2"/>
  <c r="B113" i="2"/>
  <c r="O112" i="2"/>
  <c r="N112" i="2"/>
  <c r="M112" i="2"/>
  <c r="L112" i="2"/>
  <c r="K112" i="2"/>
  <c r="B112" i="2"/>
  <c r="O111" i="2"/>
  <c r="N111" i="2"/>
  <c r="M111" i="2"/>
  <c r="L111" i="2"/>
  <c r="K111" i="2"/>
  <c r="B111" i="2"/>
  <c r="O110" i="2"/>
  <c r="N110" i="2"/>
  <c r="M110" i="2"/>
  <c r="L110" i="2"/>
  <c r="K110" i="2"/>
  <c r="B110" i="2"/>
  <c r="O109" i="2"/>
  <c r="N109" i="2"/>
  <c r="M109" i="2"/>
  <c r="L109" i="2"/>
  <c r="K109" i="2"/>
  <c r="B109" i="2"/>
  <c r="O108" i="2"/>
  <c r="N108" i="2"/>
  <c r="M108" i="2"/>
  <c r="L108" i="2"/>
  <c r="K108" i="2"/>
  <c r="B108" i="2"/>
  <c r="O107" i="2"/>
  <c r="N107" i="2"/>
  <c r="M107" i="2"/>
  <c r="L107" i="2"/>
  <c r="K107" i="2"/>
  <c r="B107" i="2"/>
  <c r="O106" i="2"/>
  <c r="N106" i="2"/>
  <c r="M106" i="2"/>
  <c r="L106" i="2"/>
  <c r="K106" i="2"/>
  <c r="B106" i="2"/>
  <c r="O105" i="2"/>
  <c r="N105" i="2"/>
  <c r="M105" i="2"/>
  <c r="L105" i="2"/>
  <c r="K105" i="2"/>
  <c r="B105" i="2"/>
  <c r="O104" i="2"/>
  <c r="N104" i="2"/>
  <c r="M104" i="2"/>
  <c r="L104" i="2"/>
  <c r="K104" i="2"/>
  <c r="B104" i="2"/>
  <c r="O103" i="2"/>
  <c r="N103" i="2"/>
  <c r="M103" i="2"/>
  <c r="L103" i="2"/>
  <c r="K103" i="2"/>
  <c r="B103" i="2"/>
  <c r="O102" i="2"/>
  <c r="N102" i="2"/>
  <c r="M102" i="2"/>
  <c r="L102" i="2"/>
  <c r="K102" i="2"/>
  <c r="B102" i="2"/>
  <c r="O101" i="2"/>
  <c r="N101" i="2"/>
  <c r="M101" i="2"/>
  <c r="L101" i="2"/>
  <c r="K101" i="2"/>
  <c r="B101" i="2"/>
  <c r="O100" i="2"/>
  <c r="N100" i="2"/>
  <c r="M100" i="2"/>
  <c r="L100" i="2"/>
  <c r="K100" i="2"/>
  <c r="B100" i="2"/>
  <c r="O99" i="2"/>
  <c r="N99" i="2"/>
  <c r="M99" i="2"/>
  <c r="L99" i="2"/>
  <c r="K99" i="2"/>
  <c r="B99" i="2"/>
  <c r="O98" i="2"/>
  <c r="N98" i="2"/>
  <c r="M98" i="2"/>
  <c r="L98" i="2"/>
  <c r="K98" i="2"/>
  <c r="B98" i="2"/>
  <c r="O97" i="2"/>
  <c r="N97" i="2"/>
  <c r="M97" i="2"/>
  <c r="L97" i="2"/>
  <c r="K97" i="2"/>
  <c r="B97" i="2"/>
  <c r="O96" i="2"/>
  <c r="N96" i="2"/>
  <c r="M96" i="2"/>
  <c r="L96" i="2"/>
  <c r="K96" i="2"/>
  <c r="B96" i="2"/>
  <c r="O95" i="2"/>
  <c r="N95" i="2"/>
  <c r="M95" i="2"/>
  <c r="L95" i="2"/>
  <c r="K95" i="2"/>
  <c r="B95" i="2"/>
  <c r="O94" i="2"/>
  <c r="N94" i="2"/>
  <c r="M94" i="2"/>
  <c r="L94" i="2"/>
  <c r="K94" i="2"/>
  <c r="B94" i="2"/>
  <c r="O93" i="2"/>
  <c r="N93" i="2"/>
  <c r="M93" i="2"/>
  <c r="L93" i="2"/>
  <c r="K93" i="2"/>
  <c r="B93" i="2"/>
  <c r="O92" i="2"/>
  <c r="N92" i="2"/>
  <c r="M92" i="2"/>
  <c r="L92" i="2"/>
  <c r="K92" i="2"/>
  <c r="B92" i="2"/>
  <c r="O91" i="2"/>
  <c r="N91" i="2"/>
  <c r="M91" i="2"/>
  <c r="L91" i="2"/>
  <c r="K91" i="2"/>
  <c r="B91" i="2"/>
  <c r="O90" i="2"/>
  <c r="N90" i="2"/>
  <c r="M90" i="2"/>
  <c r="L90" i="2"/>
  <c r="K90" i="2"/>
  <c r="B90" i="2"/>
  <c r="O89" i="2"/>
  <c r="N89" i="2"/>
  <c r="M89" i="2"/>
  <c r="L89" i="2"/>
  <c r="K89" i="2"/>
  <c r="B89" i="2"/>
  <c r="O88" i="2"/>
  <c r="N88" i="2"/>
  <c r="M88" i="2"/>
  <c r="L88" i="2"/>
  <c r="K88" i="2"/>
  <c r="B88" i="2"/>
  <c r="O87" i="2"/>
  <c r="N87" i="2"/>
  <c r="M87" i="2"/>
  <c r="L87" i="2"/>
  <c r="K87" i="2"/>
  <c r="B87" i="2"/>
  <c r="O86" i="2"/>
  <c r="N86" i="2"/>
  <c r="M86" i="2"/>
  <c r="L86" i="2"/>
  <c r="K86" i="2"/>
  <c r="B86" i="2"/>
  <c r="O85" i="2"/>
  <c r="N85" i="2"/>
  <c r="M85" i="2"/>
  <c r="L85" i="2"/>
  <c r="K85" i="2"/>
  <c r="B85" i="2"/>
  <c r="O84" i="2"/>
  <c r="N84" i="2"/>
  <c r="M84" i="2"/>
  <c r="L84" i="2"/>
  <c r="K84" i="2"/>
  <c r="B84" i="2"/>
  <c r="O83" i="2"/>
  <c r="N83" i="2"/>
  <c r="M83" i="2"/>
  <c r="L83" i="2"/>
  <c r="K83" i="2"/>
  <c r="B83" i="2"/>
  <c r="O82" i="2"/>
  <c r="N82" i="2"/>
  <c r="M82" i="2"/>
  <c r="L82" i="2"/>
  <c r="K82" i="2"/>
  <c r="B82" i="2"/>
  <c r="O81" i="2"/>
  <c r="N81" i="2"/>
  <c r="M81" i="2"/>
  <c r="L81" i="2"/>
  <c r="K81" i="2"/>
  <c r="B81" i="2"/>
  <c r="O80" i="2"/>
  <c r="N80" i="2"/>
  <c r="M80" i="2"/>
  <c r="L80" i="2"/>
  <c r="K80" i="2"/>
  <c r="B80" i="2"/>
  <c r="O79" i="2"/>
  <c r="N79" i="2"/>
  <c r="M79" i="2"/>
  <c r="L79" i="2"/>
  <c r="K79" i="2"/>
  <c r="B79" i="2"/>
  <c r="O78" i="2"/>
  <c r="N78" i="2"/>
  <c r="M78" i="2"/>
  <c r="L78" i="2"/>
  <c r="K78" i="2"/>
  <c r="B78" i="2"/>
  <c r="O77" i="2"/>
  <c r="N77" i="2"/>
  <c r="M77" i="2"/>
  <c r="L77" i="2"/>
  <c r="K77" i="2"/>
  <c r="B77" i="2"/>
  <c r="O76" i="2"/>
  <c r="N76" i="2"/>
  <c r="M76" i="2"/>
  <c r="L76" i="2"/>
  <c r="K76" i="2"/>
  <c r="B76" i="2"/>
  <c r="O75" i="2"/>
  <c r="N75" i="2"/>
  <c r="M75" i="2"/>
  <c r="L75" i="2"/>
  <c r="K75" i="2"/>
  <c r="B75" i="2"/>
  <c r="O74" i="2"/>
  <c r="N74" i="2"/>
  <c r="M74" i="2"/>
  <c r="L74" i="2"/>
  <c r="K74" i="2"/>
  <c r="B74" i="2"/>
  <c r="O73" i="2"/>
  <c r="N73" i="2"/>
  <c r="M73" i="2"/>
  <c r="L73" i="2"/>
  <c r="K73" i="2"/>
  <c r="B73" i="2"/>
  <c r="O72" i="2"/>
  <c r="N72" i="2"/>
  <c r="M72" i="2"/>
  <c r="L72" i="2"/>
  <c r="K72" i="2"/>
  <c r="B72" i="2"/>
  <c r="O71" i="2"/>
  <c r="N71" i="2"/>
  <c r="M71" i="2"/>
  <c r="L71" i="2"/>
  <c r="K71" i="2"/>
  <c r="B71" i="2"/>
  <c r="O70" i="2"/>
  <c r="N70" i="2"/>
  <c r="M70" i="2"/>
  <c r="L70" i="2"/>
  <c r="K70" i="2"/>
  <c r="B70" i="2"/>
  <c r="O69" i="2"/>
  <c r="N69" i="2"/>
  <c r="M69" i="2"/>
  <c r="L69" i="2"/>
  <c r="K69" i="2"/>
  <c r="B69" i="2"/>
  <c r="O68" i="2"/>
  <c r="N68" i="2"/>
  <c r="M68" i="2"/>
  <c r="L68" i="2"/>
  <c r="K68" i="2"/>
  <c r="B68" i="2"/>
  <c r="O67" i="2"/>
  <c r="N67" i="2"/>
  <c r="M67" i="2"/>
  <c r="L67" i="2"/>
  <c r="K67" i="2"/>
  <c r="B67" i="2"/>
  <c r="O66" i="2"/>
  <c r="N66" i="2"/>
  <c r="M66" i="2"/>
  <c r="L66" i="2"/>
  <c r="K66" i="2"/>
  <c r="B66" i="2"/>
  <c r="O65" i="2"/>
  <c r="N65" i="2"/>
  <c r="M65" i="2"/>
  <c r="L65" i="2"/>
  <c r="K65" i="2"/>
  <c r="B65" i="2"/>
  <c r="O64" i="2"/>
  <c r="N64" i="2"/>
  <c r="M64" i="2"/>
  <c r="L64" i="2"/>
  <c r="K64" i="2"/>
  <c r="B64" i="2"/>
  <c r="O63" i="2"/>
  <c r="N63" i="2"/>
  <c r="M63" i="2"/>
  <c r="L63" i="2"/>
  <c r="K63" i="2"/>
  <c r="B63" i="2"/>
  <c r="O62" i="2"/>
  <c r="N62" i="2"/>
  <c r="M62" i="2"/>
  <c r="L62" i="2"/>
  <c r="K62" i="2"/>
  <c r="B62" i="2"/>
  <c r="O61" i="2"/>
  <c r="N61" i="2"/>
  <c r="M61" i="2"/>
  <c r="L61" i="2"/>
  <c r="K61" i="2"/>
  <c r="B61" i="2"/>
  <c r="O60" i="2"/>
  <c r="N60" i="2"/>
  <c r="M60" i="2"/>
  <c r="L60" i="2"/>
  <c r="K60" i="2"/>
  <c r="B60" i="2"/>
  <c r="O59" i="2"/>
  <c r="N59" i="2"/>
  <c r="M59" i="2"/>
  <c r="L59" i="2"/>
  <c r="K59" i="2"/>
  <c r="B59" i="2"/>
  <c r="O58" i="2"/>
  <c r="N58" i="2"/>
  <c r="M58" i="2"/>
  <c r="L58" i="2"/>
  <c r="K58" i="2"/>
  <c r="B58" i="2"/>
  <c r="O57" i="2"/>
  <c r="N57" i="2"/>
  <c r="M57" i="2"/>
  <c r="L57" i="2"/>
  <c r="K57" i="2"/>
  <c r="B57" i="2"/>
  <c r="O56" i="2"/>
  <c r="N56" i="2"/>
  <c r="M56" i="2"/>
  <c r="L56" i="2"/>
  <c r="K56" i="2"/>
  <c r="B56" i="2"/>
  <c r="O55" i="2"/>
  <c r="N55" i="2"/>
  <c r="M55" i="2"/>
  <c r="L55" i="2"/>
  <c r="K55" i="2"/>
  <c r="B55" i="2"/>
  <c r="O54" i="2"/>
  <c r="N54" i="2"/>
  <c r="M54" i="2"/>
  <c r="L54" i="2"/>
  <c r="K54" i="2"/>
  <c r="B54" i="2"/>
  <c r="O53" i="2"/>
  <c r="N53" i="2"/>
  <c r="M53" i="2"/>
  <c r="L53" i="2"/>
  <c r="K53" i="2"/>
  <c r="B53" i="2"/>
  <c r="O52" i="2"/>
  <c r="N52" i="2"/>
  <c r="M52" i="2"/>
  <c r="L52" i="2"/>
  <c r="K52" i="2"/>
  <c r="B52" i="2"/>
  <c r="O51" i="2"/>
  <c r="N51" i="2"/>
  <c r="M51" i="2"/>
  <c r="L51" i="2"/>
  <c r="K51" i="2"/>
  <c r="B51" i="2"/>
  <c r="O50" i="2"/>
  <c r="N50" i="2"/>
  <c r="M50" i="2"/>
  <c r="L50" i="2"/>
  <c r="K50" i="2"/>
  <c r="B50" i="2"/>
  <c r="O49" i="2"/>
  <c r="N49" i="2"/>
  <c r="M49" i="2"/>
  <c r="L49" i="2"/>
  <c r="K49" i="2"/>
  <c r="B49" i="2"/>
  <c r="O48" i="2"/>
  <c r="N48" i="2"/>
  <c r="M48" i="2"/>
  <c r="L48" i="2"/>
  <c r="K48" i="2"/>
  <c r="B48" i="2"/>
  <c r="O47" i="2"/>
  <c r="N47" i="2"/>
  <c r="M47" i="2"/>
  <c r="L47" i="2"/>
  <c r="K47" i="2"/>
  <c r="B47" i="2"/>
  <c r="O46" i="2"/>
  <c r="N46" i="2"/>
  <c r="M46" i="2"/>
  <c r="L46" i="2"/>
  <c r="K46" i="2"/>
  <c r="B46" i="2"/>
  <c r="O45" i="2"/>
  <c r="N45" i="2"/>
  <c r="M45" i="2"/>
  <c r="L45" i="2"/>
  <c r="K45" i="2"/>
  <c r="B45" i="2"/>
  <c r="O44" i="2"/>
  <c r="N44" i="2"/>
  <c r="M44" i="2"/>
  <c r="L44" i="2"/>
  <c r="K44" i="2"/>
  <c r="B44" i="2"/>
  <c r="O43" i="2"/>
  <c r="N43" i="2"/>
  <c r="M43" i="2"/>
  <c r="L43" i="2"/>
  <c r="K43" i="2"/>
  <c r="B43" i="2"/>
  <c r="O42" i="2"/>
  <c r="N42" i="2"/>
  <c r="M42" i="2"/>
  <c r="L42" i="2"/>
  <c r="K42" i="2"/>
  <c r="B42" i="2"/>
  <c r="O41" i="2"/>
  <c r="N41" i="2"/>
  <c r="M41" i="2"/>
  <c r="L41" i="2"/>
  <c r="K41" i="2"/>
  <c r="B41" i="2"/>
  <c r="O40" i="2"/>
  <c r="N40" i="2"/>
  <c r="M40" i="2"/>
  <c r="L40" i="2"/>
  <c r="K40" i="2"/>
  <c r="B40" i="2"/>
  <c r="O39" i="2"/>
  <c r="N39" i="2"/>
  <c r="M39" i="2"/>
  <c r="L39" i="2"/>
  <c r="K39" i="2"/>
  <c r="B39" i="2"/>
  <c r="O38" i="2"/>
  <c r="N38" i="2"/>
  <c r="M38" i="2"/>
  <c r="L38" i="2"/>
  <c r="K38" i="2"/>
  <c r="B38" i="2"/>
  <c r="O37" i="2"/>
  <c r="N37" i="2"/>
  <c r="M37" i="2"/>
  <c r="L37" i="2"/>
  <c r="K37" i="2"/>
  <c r="B37" i="2"/>
  <c r="O36" i="2"/>
  <c r="N36" i="2"/>
  <c r="M36" i="2"/>
  <c r="L36" i="2"/>
  <c r="K36" i="2"/>
  <c r="B36" i="2"/>
  <c r="O35" i="2"/>
  <c r="N35" i="2"/>
  <c r="M35" i="2"/>
  <c r="L35" i="2"/>
  <c r="K35" i="2"/>
  <c r="B35" i="2"/>
  <c r="O34" i="2"/>
  <c r="N34" i="2"/>
  <c r="M34" i="2"/>
  <c r="L34" i="2"/>
  <c r="K34" i="2"/>
  <c r="B34" i="2"/>
  <c r="O33" i="2"/>
  <c r="N33" i="2"/>
  <c r="M33" i="2"/>
  <c r="L33" i="2"/>
  <c r="K33" i="2"/>
  <c r="B33" i="2"/>
  <c r="O32" i="2"/>
  <c r="N32" i="2"/>
  <c r="M32" i="2"/>
  <c r="L32" i="2"/>
  <c r="K32" i="2"/>
  <c r="B32" i="2"/>
  <c r="O31" i="2"/>
  <c r="N31" i="2"/>
  <c r="M31" i="2"/>
  <c r="L31" i="2"/>
  <c r="K31" i="2"/>
  <c r="B31" i="2"/>
  <c r="O30" i="2"/>
  <c r="N30" i="2"/>
  <c r="M30" i="2"/>
  <c r="L30" i="2"/>
  <c r="K30" i="2"/>
  <c r="B30" i="2"/>
  <c r="O29" i="2"/>
  <c r="N29" i="2"/>
  <c r="M29" i="2"/>
  <c r="L29" i="2"/>
  <c r="K29" i="2"/>
  <c r="B29" i="2"/>
  <c r="O28" i="2"/>
  <c r="N28" i="2"/>
  <c r="M28" i="2"/>
  <c r="L28" i="2"/>
  <c r="K28" i="2"/>
  <c r="B28" i="2"/>
  <c r="O27" i="2"/>
  <c r="N27" i="2"/>
  <c r="M27" i="2"/>
  <c r="L27" i="2"/>
  <c r="K27" i="2"/>
  <c r="B27" i="2"/>
  <c r="O26" i="2"/>
  <c r="N26" i="2"/>
  <c r="M26" i="2"/>
  <c r="L26" i="2"/>
  <c r="K26" i="2"/>
  <c r="B26" i="2"/>
  <c r="O25" i="2"/>
  <c r="N25" i="2"/>
  <c r="M25" i="2"/>
  <c r="L25" i="2"/>
  <c r="K25" i="2"/>
  <c r="B25" i="2"/>
  <c r="O24" i="2"/>
  <c r="N24" i="2"/>
  <c r="M24" i="2"/>
  <c r="L24" i="2"/>
  <c r="K24" i="2"/>
  <c r="B24" i="2"/>
  <c r="O23" i="2"/>
  <c r="N23" i="2"/>
  <c r="M23" i="2"/>
  <c r="L23" i="2"/>
  <c r="K23" i="2"/>
  <c r="B23" i="2"/>
  <c r="O22" i="2"/>
  <c r="N22" i="2"/>
  <c r="M22" i="2"/>
  <c r="L22" i="2"/>
  <c r="K22" i="2"/>
  <c r="B22" i="2"/>
  <c r="O21" i="2"/>
  <c r="N21" i="2"/>
  <c r="M21" i="2"/>
  <c r="L21" i="2"/>
  <c r="K21" i="2"/>
  <c r="B21" i="2"/>
  <c r="O20" i="2"/>
  <c r="N20" i="2"/>
  <c r="M20" i="2"/>
  <c r="L20" i="2"/>
  <c r="K20" i="2"/>
  <c r="B20" i="2"/>
  <c r="O19" i="2"/>
  <c r="N19" i="2"/>
  <c r="M19" i="2"/>
  <c r="L19" i="2"/>
  <c r="K19" i="2"/>
  <c r="B19" i="2"/>
  <c r="O18" i="2"/>
  <c r="N18" i="2"/>
  <c r="M18" i="2"/>
  <c r="L18" i="2"/>
  <c r="K18" i="2"/>
  <c r="B18" i="2"/>
  <c r="O17" i="2"/>
  <c r="N17" i="2"/>
  <c r="M17" i="2"/>
  <c r="L17" i="2"/>
  <c r="K17" i="2"/>
  <c r="B17" i="2"/>
  <c r="O16" i="2"/>
  <c r="N16" i="2"/>
  <c r="M16" i="2"/>
  <c r="L16" i="2"/>
  <c r="K16" i="2"/>
  <c r="B16" i="2"/>
  <c r="O15" i="2"/>
  <c r="N15" i="2"/>
  <c r="M15" i="2"/>
  <c r="L15" i="2"/>
  <c r="K15" i="2"/>
  <c r="B15" i="2"/>
  <c r="O14" i="2"/>
  <c r="N14" i="2"/>
  <c r="M14" i="2"/>
  <c r="L14" i="2"/>
  <c r="K14" i="2"/>
  <c r="B14" i="2"/>
  <c r="O13" i="2"/>
  <c r="N13" i="2"/>
  <c r="M13" i="2"/>
  <c r="L13" i="2"/>
  <c r="K13" i="2"/>
  <c r="B13" i="2"/>
  <c r="O12" i="2"/>
  <c r="N12" i="2"/>
  <c r="M12" i="2"/>
  <c r="L12" i="2"/>
  <c r="K12" i="2"/>
  <c r="B12" i="2"/>
  <c r="O11" i="2"/>
  <c r="N11" i="2"/>
  <c r="M11" i="2"/>
  <c r="L11" i="2"/>
  <c r="K11" i="2"/>
  <c r="B11" i="2"/>
  <c r="O10" i="2"/>
  <c r="N10" i="2"/>
  <c r="M10" i="2"/>
  <c r="L10" i="2"/>
  <c r="K10" i="2"/>
  <c r="B10" i="2"/>
  <c r="O9" i="2"/>
  <c r="N9" i="2"/>
  <c r="M9" i="2"/>
  <c r="L9" i="2"/>
  <c r="K9" i="2"/>
  <c r="B9" i="2"/>
  <c r="O8" i="2"/>
  <c r="N8" i="2"/>
  <c r="M8" i="2"/>
  <c r="L8" i="2"/>
  <c r="K8" i="2"/>
  <c r="B8" i="2"/>
  <c r="O7" i="2"/>
  <c r="N7" i="2"/>
  <c r="M7" i="2"/>
  <c r="L7" i="2"/>
  <c r="K7" i="2"/>
  <c r="B7" i="2"/>
  <c r="O6" i="2"/>
  <c r="N6" i="2"/>
  <c r="M6" i="2"/>
  <c r="L6" i="2"/>
  <c r="K6" i="2"/>
  <c r="B6" i="2"/>
  <c r="O5" i="2"/>
  <c r="N5" i="2"/>
  <c r="M5" i="2"/>
  <c r="L5" i="2"/>
  <c r="K5" i="2"/>
  <c r="B5" i="2"/>
  <c r="O4" i="2"/>
  <c r="N4" i="2"/>
  <c r="M4" i="2"/>
  <c r="L4" i="2"/>
  <c r="K4" i="2"/>
  <c r="B4" i="2"/>
  <c r="O3" i="2"/>
  <c r="N3" i="2"/>
  <c r="M3" i="2"/>
  <c r="L3" i="2"/>
  <c r="K3" i="2"/>
  <c r="B3" i="2"/>
  <c r="O2" i="2"/>
  <c r="N2" i="2"/>
  <c r="M2" i="2"/>
  <c r="L2" i="2"/>
  <c r="K2" i="2"/>
  <c r="B2" i="2"/>
  <c r="O465" i="1" l="1"/>
  <c r="N465" i="1"/>
  <c r="M465" i="1"/>
  <c r="L465" i="1"/>
  <c r="K465" i="1"/>
  <c r="O464" i="1"/>
  <c r="N464" i="1"/>
  <c r="M464" i="1"/>
  <c r="L464" i="1"/>
  <c r="K464" i="1"/>
  <c r="O463" i="1"/>
  <c r="N463" i="1"/>
  <c r="M463" i="1"/>
  <c r="L463" i="1"/>
  <c r="K463" i="1"/>
  <c r="O462" i="1"/>
  <c r="N462" i="1"/>
  <c r="M462" i="1"/>
  <c r="L462" i="1"/>
  <c r="K462" i="1"/>
  <c r="O461" i="1"/>
  <c r="N461" i="1"/>
  <c r="M461" i="1"/>
  <c r="L461" i="1"/>
  <c r="K461" i="1"/>
  <c r="O460" i="1"/>
  <c r="N460" i="1"/>
  <c r="M460" i="1"/>
  <c r="L460" i="1"/>
  <c r="K460" i="1"/>
  <c r="O459" i="1"/>
  <c r="N459" i="1"/>
  <c r="M459" i="1"/>
  <c r="L459" i="1"/>
  <c r="K459" i="1"/>
  <c r="O458" i="1"/>
  <c r="N458" i="1"/>
  <c r="M458" i="1"/>
  <c r="L458" i="1"/>
  <c r="K458" i="1"/>
  <c r="O457" i="1"/>
  <c r="N457" i="1"/>
  <c r="M457" i="1"/>
  <c r="L457" i="1"/>
  <c r="K457" i="1"/>
  <c r="O456" i="1"/>
  <c r="N456" i="1"/>
  <c r="M456" i="1"/>
  <c r="L456" i="1"/>
  <c r="K456" i="1"/>
  <c r="O455" i="1"/>
  <c r="N455" i="1"/>
  <c r="M455" i="1"/>
  <c r="L455" i="1"/>
  <c r="K455" i="1"/>
  <c r="O454" i="1"/>
  <c r="N454" i="1"/>
  <c r="M454" i="1"/>
  <c r="L454" i="1"/>
  <c r="K454" i="1"/>
  <c r="O453" i="1"/>
  <c r="N453" i="1"/>
  <c r="M453" i="1"/>
  <c r="L453" i="1"/>
  <c r="K453" i="1"/>
  <c r="O452" i="1"/>
  <c r="N452" i="1"/>
  <c r="M452" i="1"/>
  <c r="L452" i="1"/>
  <c r="K452" i="1"/>
  <c r="O451" i="1"/>
  <c r="N451" i="1"/>
  <c r="M451" i="1"/>
  <c r="L451" i="1"/>
  <c r="K451" i="1"/>
  <c r="O450" i="1"/>
  <c r="N450" i="1"/>
  <c r="M450" i="1"/>
  <c r="L450" i="1"/>
  <c r="K450" i="1"/>
  <c r="O449" i="1"/>
  <c r="N449" i="1"/>
  <c r="M449" i="1"/>
  <c r="L449" i="1"/>
  <c r="K449" i="1"/>
  <c r="O448" i="1"/>
  <c r="N448" i="1"/>
  <c r="M448" i="1"/>
  <c r="L448" i="1"/>
  <c r="K448" i="1"/>
  <c r="O447" i="1"/>
  <c r="N447" i="1"/>
  <c r="M447" i="1"/>
  <c r="L447" i="1"/>
  <c r="K447" i="1"/>
  <c r="O446" i="1"/>
  <c r="N446" i="1"/>
  <c r="M446" i="1"/>
  <c r="L446" i="1"/>
  <c r="K446" i="1"/>
  <c r="O445" i="1"/>
  <c r="N445" i="1"/>
  <c r="M445" i="1"/>
  <c r="L445" i="1"/>
  <c r="K445" i="1"/>
  <c r="O444" i="1"/>
  <c r="N444" i="1"/>
  <c r="M444" i="1"/>
  <c r="L444" i="1"/>
  <c r="K444" i="1"/>
  <c r="O443" i="1"/>
  <c r="N443" i="1"/>
  <c r="M443" i="1"/>
  <c r="L443" i="1"/>
  <c r="K443" i="1"/>
  <c r="O442" i="1"/>
  <c r="N442" i="1"/>
  <c r="M442" i="1"/>
  <c r="L442" i="1"/>
  <c r="K442" i="1"/>
  <c r="O441" i="1"/>
  <c r="N441" i="1"/>
  <c r="M441" i="1"/>
  <c r="L441" i="1"/>
  <c r="K441" i="1"/>
  <c r="O440" i="1"/>
  <c r="N440" i="1"/>
  <c r="M440" i="1"/>
  <c r="L440" i="1"/>
  <c r="K440" i="1"/>
  <c r="O439" i="1"/>
  <c r="N439" i="1"/>
  <c r="M439" i="1"/>
  <c r="L439" i="1"/>
  <c r="K439" i="1"/>
  <c r="O438" i="1"/>
  <c r="N438" i="1"/>
  <c r="M438" i="1"/>
  <c r="L438" i="1"/>
  <c r="K438" i="1"/>
  <c r="O437" i="1"/>
  <c r="N437" i="1"/>
  <c r="M437" i="1"/>
  <c r="L437" i="1"/>
  <c r="K437" i="1"/>
  <c r="O436" i="1"/>
  <c r="N436" i="1"/>
  <c r="M436" i="1"/>
  <c r="L436" i="1"/>
  <c r="K436" i="1"/>
  <c r="O435" i="1"/>
  <c r="N435" i="1"/>
  <c r="M435" i="1"/>
  <c r="L435" i="1"/>
  <c r="K435" i="1"/>
  <c r="O434" i="1"/>
  <c r="N434" i="1"/>
  <c r="M434" i="1"/>
  <c r="L434" i="1"/>
  <c r="K434" i="1"/>
  <c r="O433" i="1"/>
  <c r="N433" i="1"/>
  <c r="M433" i="1"/>
  <c r="L433" i="1"/>
  <c r="K433" i="1"/>
  <c r="O432" i="1"/>
  <c r="N432" i="1"/>
  <c r="M432" i="1"/>
  <c r="L432" i="1"/>
  <c r="K432" i="1"/>
  <c r="O431" i="1"/>
  <c r="N431" i="1"/>
  <c r="M431" i="1"/>
  <c r="L431" i="1"/>
  <c r="K431" i="1"/>
  <c r="O430" i="1"/>
  <c r="N430" i="1"/>
  <c r="M430" i="1"/>
  <c r="L430" i="1"/>
  <c r="K430" i="1"/>
  <c r="O429" i="1"/>
  <c r="N429" i="1"/>
  <c r="M429" i="1"/>
  <c r="L429" i="1"/>
  <c r="K429" i="1"/>
  <c r="O428" i="1"/>
  <c r="N428" i="1"/>
  <c r="M428" i="1"/>
  <c r="L428" i="1"/>
  <c r="K428" i="1"/>
  <c r="O427" i="1"/>
  <c r="N427" i="1"/>
  <c r="M427" i="1"/>
  <c r="L427" i="1"/>
  <c r="K427" i="1"/>
  <c r="O426" i="1"/>
  <c r="N426" i="1"/>
  <c r="M426" i="1"/>
  <c r="L426" i="1"/>
  <c r="K426" i="1"/>
  <c r="O425" i="1"/>
  <c r="N425" i="1"/>
  <c r="M425" i="1"/>
  <c r="L425" i="1"/>
  <c r="K425" i="1"/>
  <c r="O424" i="1"/>
  <c r="N424" i="1"/>
  <c r="M424" i="1"/>
  <c r="L424" i="1"/>
  <c r="K424" i="1"/>
  <c r="O423" i="1"/>
  <c r="N423" i="1"/>
  <c r="M423" i="1"/>
  <c r="L423" i="1"/>
  <c r="K423" i="1"/>
  <c r="O422" i="1"/>
  <c r="N422" i="1"/>
  <c r="M422" i="1"/>
  <c r="L422" i="1"/>
  <c r="K422" i="1"/>
  <c r="O421" i="1"/>
  <c r="N421" i="1"/>
  <c r="M421" i="1"/>
  <c r="L421" i="1"/>
  <c r="K421" i="1"/>
  <c r="O420" i="1"/>
  <c r="N420" i="1"/>
  <c r="M420" i="1"/>
  <c r="L420" i="1"/>
  <c r="K420" i="1"/>
  <c r="O419" i="1"/>
  <c r="N419" i="1"/>
  <c r="M419" i="1"/>
  <c r="L419" i="1"/>
  <c r="K419" i="1"/>
  <c r="O418" i="1"/>
  <c r="N418" i="1"/>
  <c r="M418" i="1"/>
  <c r="L418" i="1"/>
  <c r="K418" i="1"/>
  <c r="O417" i="1"/>
  <c r="N417" i="1"/>
  <c r="M417" i="1"/>
  <c r="L417" i="1"/>
  <c r="K417" i="1"/>
  <c r="O416" i="1"/>
  <c r="N416" i="1"/>
  <c r="M416" i="1"/>
  <c r="L416" i="1"/>
  <c r="K416" i="1"/>
  <c r="O415" i="1"/>
  <c r="N415" i="1"/>
  <c r="M415" i="1"/>
  <c r="L415" i="1"/>
  <c r="K415" i="1"/>
  <c r="O414" i="1"/>
  <c r="N414" i="1"/>
  <c r="M414" i="1"/>
  <c r="L414" i="1"/>
  <c r="K414" i="1"/>
  <c r="O413" i="1"/>
  <c r="N413" i="1"/>
  <c r="M413" i="1"/>
  <c r="L413" i="1"/>
  <c r="K413" i="1"/>
  <c r="O412" i="1"/>
  <c r="N412" i="1"/>
  <c r="M412" i="1"/>
  <c r="L412" i="1"/>
  <c r="K412" i="1"/>
  <c r="O411" i="1"/>
  <c r="N411" i="1"/>
  <c r="M411" i="1"/>
  <c r="L411" i="1"/>
  <c r="K411" i="1"/>
  <c r="O410" i="1"/>
  <c r="N410" i="1"/>
  <c r="M410" i="1"/>
  <c r="L410" i="1"/>
  <c r="K410" i="1"/>
  <c r="O409" i="1"/>
  <c r="N409" i="1"/>
  <c r="M409" i="1"/>
  <c r="L409" i="1"/>
  <c r="K409" i="1"/>
  <c r="O408" i="1"/>
  <c r="N408" i="1"/>
  <c r="M408" i="1"/>
  <c r="L408" i="1"/>
  <c r="K408" i="1"/>
  <c r="O407" i="1"/>
  <c r="N407" i="1"/>
  <c r="M407" i="1"/>
  <c r="L407" i="1"/>
  <c r="K407" i="1"/>
  <c r="O406" i="1"/>
  <c r="N406" i="1"/>
  <c r="M406" i="1"/>
  <c r="L406" i="1"/>
  <c r="K406" i="1"/>
  <c r="O405" i="1"/>
  <c r="N405" i="1"/>
  <c r="M405" i="1"/>
  <c r="L405" i="1"/>
  <c r="K405" i="1"/>
  <c r="O404" i="1"/>
  <c r="N404" i="1"/>
  <c r="M404" i="1"/>
  <c r="L404" i="1"/>
  <c r="K404" i="1"/>
  <c r="O403" i="1"/>
  <c r="N403" i="1"/>
  <c r="M403" i="1"/>
  <c r="L403" i="1"/>
  <c r="K403" i="1"/>
  <c r="O402" i="1"/>
  <c r="N402" i="1"/>
  <c r="M402" i="1"/>
  <c r="L402" i="1"/>
  <c r="K402" i="1"/>
  <c r="O401" i="1"/>
  <c r="N401" i="1"/>
  <c r="M401" i="1"/>
  <c r="L401" i="1"/>
  <c r="K401" i="1"/>
  <c r="O400" i="1"/>
  <c r="N400" i="1"/>
  <c r="M400" i="1"/>
  <c r="L400" i="1"/>
  <c r="K400" i="1"/>
  <c r="O399" i="1"/>
  <c r="N399" i="1"/>
  <c r="M399" i="1"/>
  <c r="L399" i="1"/>
  <c r="K399" i="1"/>
  <c r="O398" i="1"/>
  <c r="N398" i="1"/>
  <c r="M398" i="1"/>
  <c r="L398" i="1"/>
  <c r="K398" i="1"/>
  <c r="O397" i="1"/>
  <c r="N397" i="1"/>
  <c r="M397" i="1"/>
  <c r="L397" i="1"/>
  <c r="K397" i="1"/>
  <c r="O396" i="1"/>
  <c r="N396" i="1"/>
  <c r="M396" i="1"/>
  <c r="L396" i="1"/>
  <c r="K396" i="1"/>
  <c r="O395" i="1"/>
  <c r="N395" i="1"/>
  <c r="M395" i="1"/>
  <c r="L395" i="1"/>
  <c r="K395" i="1"/>
  <c r="O394" i="1"/>
  <c r="N394" i="1"/>
  <c r="M394" i="1"/>
  <c r="L394" i="1"/>
  <c r="K394" i="1"/>
  <c r="O393" i="1"/>
  <c r="N393" i="1"/>
  <c r="M393" i="1"/>
  <c r="L393" i="1"/>
  <c r="K393" i="1"/>
  <c r="O392" i="1"/>
  <c r="N392" i="1"/>
  <c r="M392" i="1"/>
  <c r="L392" i="1"/>
  <c r="K392" i="1"/>
  <c r="O391" i="1"/>
  <c r="N391" i="1"/>
  <c r="M391" i="1"/>
  <c r="L391" i="1"/>
  <c r="K391" i="1"/>
  <c r="O390" i="1"/>
  <c r="N390" i="1"/>
  <c r="M390" i="1"/>
  <c r="L390" i="1"/>
  <c r="K390" i="1"/>
  <c r="O389" i="1"/>
  <c r="N389" i="1"/>
  <c r="M389" i="1"/>
  <c r="L389" i="1"/>
  <c r="K389" i="1"/>
  <c r="O388" i="1"/>
  <c r="N388" i="1"/>
  <c r="M388" i="1"/>
  <c r="L388" i="1"/>
  <c r="K388" i="1"/>
  <c r="O387" i="1"/>
  <c r="N387" i="1"/>
  <c r="M387" i="1"/>
  <c r="L387" i="1"/>
  <c r="K387" i="1"/>
  <c r="O386" i="1"/>
  <c r="N386" i="1"/>
  <c r="M386" i="1"/>
  <c r="L386" i="1"/>
  <c r="K386" i="1"/>
  <c r="O385" i="1"/>
  <c r="N385" i="1"/>
  <c r="M385" i="1"/>
  <c r="L385" i="1"/>
  <c r="K385" i="1"/>
  <c r="O384" i="1"/>
  <c r="N384" i="1"/>
  <c r="M384" i="1"/>
  <c r="L384" i="1"/>
  <c r="K384" i="1"/>
  <c r="O383" i="1"/>
  <c r="N383" i="1"/>
  <c r="M383" i="1"/>
  <c r="L383" i="1"/>
  <c r="K383" i="1"/>
  <c r="O382" i="1"/>
  <c r="N382" i="1"/>
  <c r="M382" i="1"/>
  <c r="L382" i="1"/>
  <c r="K382" i="1"/>
  <c r="O381" i="1"/>
  <c r="N381" i="1"/>
  <c r="M381" i="1"/>
  <c r="L381" i="1"/>
  <c r="K381" i="1"/>
  <c r="O380" i="1"/>
  <c r="N380" i="1"/>
  <c r="M380" i="1"/>
  <c r="L380" i="1"/>
  <c r="K380" i="1"/>
  <c r="O379" i="1"/>
  <c r="N379" i="1"/>
  <c r="M379" i="1"/>
  <c r="L379" i="1"/>
  <c r="K379" i="1"/>
  <c r="O378" i="1"/>
  <c r="N378" i="1"/>
  <c r="M378" i="1"/>
  <c r="L378" i="1"/>
  <c r="K378" i="1"/>
  <c r="O377" i="1"/>
  <c r="N377" i="1"/>
  <c r="M377" i="1"/>
  <c r="L377" i="1"/>
  <c r="K377" i="1"/>
  <c r="O376" i="1"/>
  <c r="N376" i="1"/>
  <c r="M376" i="1"/>
  <c r="L376" i="1"/>
  <c r="K376" i="1"/>
  <c r="O375" i="1"/>
  <c r="N375" i="1"/>
  <c r="M375" i="1"/>
  <c r="L375" i="1"/>
  <c r="K375" i="1"/>
  <c r="O374" i="1"/>
  <c r="N374" i="1"/>
  <c r="M374" i="1"/>
  <c r="L374" i="1"/>
  <c r="K374" i="1"/>
  <c r="O373" i="1"/>
  <c r="N373" i="1"/>
  <c r="M373" i="1"/>
  <c r="L373" i="1"/>
  <c r="K373" i="1"/>
  <c r="O372" i="1"/>
  <c r="N372" i="1"/>
  <c r="M372" i="1"/>
  <c r="L372" i="1"/>
  <c r="K372" i="1"/>
  <c r="O371" i="1"/>
  <c r="N371" i="1"/>
  <c r="M371" i="1"/>
  <c r="L371" i="1"/>
  <c r="K371" i="1"/>
  <c r="O370" i="1"/>
  <c r="N370" i="1"/>
  <c r="M370" i="1"/>
  <c r="L370" i="1"/>
  <c r="K370" i="1"/>
  <c r="O369" i="1"/>
  <c r="N369" i="1"/>
  <c r="M369" i="1"/>
  <c r="L369" i="1"/>
  <c r="K369" i="1"/>
  <c r="O368" i="1"/>
  <c r="N368" i="1"/>
  <c r="M368" i="1"/>
  <c r="L368" i="1"/>
  <c r="K368" i="1"/>
  <c r="O367" i="1"/>
  <c r="N367" i="1"/>
  <c r="M367" i="1"/>
  <c r="L367" i="1"/>
  <c r="K367" i="1"/>
  <c r="O366" i="1"/>
  <c r="N366" i="1"/>
  <c r="M366" i="1"/>
  <c r="L366" i="1"/>
  <c r="K366" i="1"/>
  <c r="O365" i="1"/>
  <c r="N365" i="1"/>
  <c r="M365" i="1"/>
  <c r="L365" i="1"/>
  <c r="K365" i="1"/>
  <c r="O364" i="1"/>
  <c r="N364" i="1"/>
  <c r="M364" i="1"/>
  <c r="L364" i="1"/>
  <c r="K364" i="1"/>
  <c r="O363" i="1"/>
  <c r="N363" i="1"/>
  <c r="M363" i="1"/>
  <c r="L363" i="1"/>
  <c r="K363" i="1"/>
  <c r="O362" i="1"/>
  <c r="N362" i="1"/>
  <c r="M362" i="1"/>
  <c r="L362" i="1"/>
  <c r="K362" i="1"/>
  <c r="O361" i="1"/>
  <c r="N361" i="1"/>
  <c r="M361" i="1"/>
  <c r="L361" i="1"/>
  <c r="K361" i="1"/>
  <c r="O360" i="1"/>
  <c r="N360" i="1"/>
  <c r="M360" i="1"/>
  <c r="L360" i="1"/>
  <c r="K360" i="1"/>
  <c r="O359" i="1"/>
  <c r="N359" i="1"/>
  <c r="M359" i="1"/>
  <c r="L359" i="1"/>
  <c r="K359" i="1"/>
  <c r="O358" i="1"/>
  <c r="N358" i="1"/>
  <c r="M358" i="1"/>
  <c r="L358" i="1"/>
  <c r="K358" i="1"/>
  <c r="O357" i="1"/>
  <c r="N357" i="1"/>
  <c r="M357" i="1"/>
  <c r="L357" i="1"/>
  <c r="K357" i="1"/>
  <c r="O356" i="1"/>
  <c r="N356" i="1"/>
  <c r="M356" i="1"/>
  <c r="L356" i="1"/>
  <c r="K356" i="1"/>
  <c r="O355" i="1"/>
  <c r="N355" i="1"/>
  <c r="M355" i="1"/>
  <c r="L355" i="1"/>
  <c r="K355" i="1"/>
  <c r="O354" i="1"/>
  <c r="N354" i="1"/>
  <c r="M354" i="1"/>
  <c r="L354" i="1"/>
  <c r="K354" i="1"/>
  <c r="O353" i="1"/>
  <c r="N353" i="1"/>
  <c r="M353" i="1"/>
  <c r="L353" i="1"/>
  <c r="K353" i="1"/>
  <c r="O352" i="1"/>
  <c r="N352" i="1"/>
  <c r="M352" i="1"/>
  <c r="L352" i="1"/>
  <c r="K352" i="1"/>
  <c r="O351" i="1"/>
  <c r="N351" i="1"/>
  <c r="M351" i="1"/>
  <c r="L351" i="1"/>
  <c r="K351" i="1"/>
  <c r="O350" i="1"/>
  <c r="N350" i="1"/>
  <c r="M350" i="1"/>
  <c r="L350" i="1"/>
  <c r="K350" i="1"/>
  <c r="O349" i="1"/>
  <c r="N349" i="1"/>
  <c r="M349" i="1"/>
  <c r="L349" i="1"/>
  <c r="K349" i="1"/>
  <c r="O348" i="1"/>
  <c r="N348" i="1"/>
  <c r="M348" i="1"/>
  <c r="L348" i="1"/>
  <c r="K348" i="1"/>
  <c r="O347" i="1"/>
  <c r="N347" i="1"/>
  <c r="M347" i="1"/>
  <c r="L347" i="1"/>
  <c r="K347" i="1"/>
  <c r="O346" i="1"/>
  <c r="N346" i="1"/>
  <c r="M346" i="1"/>
  <c r="L346" i="1"/>
  <c r="K346" i="1"/>
  <c r="O345" i="1"/>
  <c r="N345" i="1"/>
  <c r="M345" i="1"/>
  <c r="L345" i="1"/>
  <c r="K345" i="1"/>
  <c r="O344" i="1"/>
  <c r="N344" i="1"/>
  <c r="M344" i="1"/>
  <c r="L344" i="1"/>
  <c r="K344" i="1"/>
  <c r="O343" i="1"/>
  <c r="N343" i="1"/>
  <c r="M343" i="1"/>
  <c r="L343" i="1"/>
  <c r="K343" i="1"/>
  <c r="O342" i="1"/>
  <c r="N342" i="1"/>
  <c r="M342" i="1"/>
  <c r="L342" i="1"/>
  <c r="K342" i="1"/>
  <c r="O341" i="1"/>
  <c r="N341" i="1"/>
  <c r="M341" i="1"/>
  <c r="L341" i="1"/>
  <c r="K341" i="1"/>
  <c r="O340" i="1"/>
  <c r="N340" i="1"/>
  <c r="M340" i="1"/>
  <c r="L340" i="1"/>
  <c r="K340" i="1"/>
  <c r="O339" i="1"/>
  <c r="N339" i="1"/>
  <c r="M339" i="1"/>
  <c r="L339" i="1"/>
  <c r="K339" i="1"/>
  <c r="O338" i="1"/>
  <c r="N338" i="1"/>
  <c r="M338" i="1"/>
  <c r="L338" i="1"/>
  <c r="K338" i="1"/>
  <c r="O337" i="1"/>
  <c r="N337" i="1"/>
  <c r="M337" i="1"/>
  <c r="L337" i="1"/>
  <c r="K337" i="1"/>
  <c r="O336" i="1"/>
  <c r="N336" i="1"/>
  <c r="M336" i="1"/>
  <c r="L336" i="1"/>
  <c r="K336" i="1"/>
  <c r="O335" i="1"/>
  <c r="N335" i="1"/>
  <c r="M335" i="1"/>
  <c r="L335" i="1"/>
  <c r="K335" i="1"/>
  <c r="O334" i="1"/>
  <c r="N334" i="1"/>
  <c r="M334" i="1"/>
  <c r="L334" i="1"/>
  <c r="K334" i="1"/>
  <c r="O333" i="1"/>
  <c r="N333" i="1"/>
  <c r="M333" i="1"/>
  <c r="L333" i="1"/>
  <c r="K333" i="1"/>
  <c r="O332" i="1"/>
  <c r="N332" i="1"/>
  <c r="M332" i="1"/>
  <c r="L332" i="1"/>
  <c r="K332" i="1"/>
  <c r="O331" i="1"/>
  <c r="N331" i="1"/>
  <c r="M331" i="1"/>
  <c r="L331" i="1"/>
  <c r="K331" i="1"/>
  <c r="O330" i="1"/>
  <c r="N330" i="1"/>
  <c r="M330" i="1"/>
  <c r="L330" i="1"/>
  <c r="K330" i="1"/>
  <c r="O329" i="1"/>
  <c r="N329" i="1"/>
  <c r="M329" i="1"/>
  <c r="L329" i="1"/>
  <c r="K329" i="1"/>
  <c r="O328" i="1"/>
  <c r="N328" i="1"/>
  <c r="M328" i="1"/>
  <c r="L328" i="1"/>
  <c r="K328" i="1"/>
  <c r="O327" i="1"/>
  <c r="N327" i="1"/>
  <c r="M327" i="1"/>
  <c r="L327" i="1"/>
  <c r="K327" i="1"/>
  <c r="O326" i="1"/>
  <c r="N326" i="1"/>
  <c r="M326" i="1"/>
  <c r="L326" i="1"/>
  <c r="K326" i="1"/>
  <c r="O325" i="1"/>
  <c r="N325" i="1"/>
  <c r="M325" i="1"/>
  <c r="L325" i="1"/>
  <c r="K325" i="1"/>
  <c r="O324" i="1"/>
  <c r="N324" i="1"/>
  <c r="M324" i="1"/>
  <c r="L324" i="1"/>
  <c r="K324" i="1"/>
  <c r="O323" i="1"/>
  <c r="N323" i="1"/>
  <c r="M323" i="1"/>
  <c r="L323" i="1"/>
  <c r="K323" i="1"/>
  <c r="O322" i="1"/>
  <c r="N322" i="1"/>
  <c r="M322" i="1"/>
  <c r="L322" i="1"/>
  <c r="K322" i="1"/>
  <c r="O321" i="1"/>
  <c r="N321" i="1"/>
  <c r="M321" i="1"/>
  <c r="L321" i="1"/>
  <c r="K321" i="1"/>
  <c r="O320" i="1"/>
  <c r="N320" i="1"/>
  <c r="M320" i="1"/>
  <c r="L320" i="1"/>
  <c r="K320" i="1"/>
  <c r="O319" i="1"/>
  <c r="N319" i="1"/>
  <c r="M319" i="1"/>
  <c r="L319" i="1"/>
  <c r="K319" i="1"/>
  <c r="O318" i="1"/>
  <c r="N318" i="1"/>
  <c r="M318" i="1"/>
  <c r="L318" i="1"/>
  <c r="K318" i="1"/>
  <c r="O317" i="1"/>
  <c r="N317" i="1"/>
  <c r="M317" i="1"/>
  <c r="L317" i="1"/>
  <c r="K317" i="1"/>
  <c r="O316" i="1"/>
  <c r="N316" i="1"/>
  <c r="M316" i="1"/>
  <c r="L316" i="1"/>
  <c r="K316" i="1"/>
  <c r="O315" i="1"/>
  <c r="N315" i="1"/>
  <c r="M315" i="1"/>
  <c r="L315" i="1"/>
  <c r="K315" i="1"/>
  <c r="O314" i="1"/>
  <c r="N314" i="1"/>
  <c r="M314" i="1"/>
  <c r="L314" i="1"/>
  <c r="K314" i="1"/>
  <c r="O313" i="1"/>
  <c r="N313" i="1"/>
  <c r="M313" i="1"/>
  <c r="L313" i="1"/>
  <c r="K313" i="1"/>
  <c r="O312" i="1"/>
  <c r="N312" i="1"/>
  <c r="M312" i="1"/>
  <c r="L312" i="1"/>
  <c r="K312" i="1"/>
  <c r="O311" i="1"/>
  <c r="N311" i="1"/>
  <c r="M311" i="1"/>
  <c r="L311" i="1"/>
  <c r="K311" i="1"/>
  <c r="O310" i="1"/>
  <c r="N310" i="1"/>
  <c r="M310" i="1"/>
  <c r="L310" i="1"/>
  <c r="K310" i="1"/>
  <c r="O309" i="1"/>
  <c r="N309" i="1"/>
  <c r="M309" i="1"/>
  <c r="L309" i="1"/>
  <c r="K309" i="1"/>
  <c r="O308" i="1"/>
  <c r="N308" i="1"/>
  <c r="M308" i="1"/>
  <c r="L308" i="1"/>
  <c r="K308" i="1"/>
  <c r="O307" i="1"/>
  <c r="N307" i="1"/>
  <c r="M307" i="1"/>
  <c r="L307" i="1"/>
  <c r="K307" i="1"/>
  <c r="O306" i="1"/>
  <c r="N306" i="1"/>
  <c r="M306" i="1"/>
  <c r="L306" i="1"/>
  <c r="K306" i="1"/>
  <c r="O305" i="1"/>
  <c r="N305" i="1"/>
  <c r="M305" i="1"/>
  <c r="L305" i="1"/>
  <c r="K305" i="1"/>
  <c r="O304" i="1"/>
  <c r="N304" i="1"/>
  <c r="M304" i="1"/>
  <c r="L304" i="1"/>
  <c r="K304" i="1"/>
  <c r="O303" i="1"/>
  <c r="N303" i="1"/>
  <c r="M303" i="1"/>
  <c r="L303" i="1"/>
  <c r="K303" i="1"/>
  <c r="O302" i="1"/>
  <c r="N302" i="1"/>
  <c r="M302" i="1"/>
  <c r="L302" i="1"/>
  <c r="K302" i="1"/>
  <c r="O301" i="1"/>
  <c r="N301" i="1"/>
  <c r="M301" i="1"/>
  <c r="L301" i="1"/>
  <c r="K301" i="1"/>
  <c r="O300" i="1"/>
  <c r="N300" i="1"/>
  <c r="M300" i="1"/>
  <c r="L300" i="1"/>
  <c r="K300" i="1"/>
  <c r="O299" i="1"/>
  <c r="N299" i="1"/>
  <c r="M299" i="1"/>
  <c r="L299" i="1"/>
  <c r="K299" i="1"/>
  <c r="O298" i="1"/>
  <c r="N298" i="1"/>
  <c r="M298" i="1"/>
  <c r="L298" i="1"/>
  <c r="K298" i="1"/>
  <c r="O297" i="1"/>
  <c r="N297" i="1"/>
  <c r="M297" i="1"/>
  <c r="L297" i="1"/>
  <c r="K297" i="1"/>
  <c r="O296" i="1"/>
  <c r="N296" i="1"/>
  <c r="M296" i="1"/>
  <c r="L296" i="1"/>
  <c r="K296" i="1"/>
  <c r="O295" i="1"/>
  <c r="N295" i="1"/>
  <c r="M295" i="1"/>
  <c r="L295" i="1"/>
  <c r="K295" i="1"/>
  <c r="O294" i="1"/>
  <c r="N294" i="1"/>
  <c r="M294" i="1"/>
  <c r="L294" i="1"/>
  <c r="K294" i="1"/>
  <c r="O293" i="1"/>
  <c r="N293" i="1"/>
  <c r="M293" i="1"/>
  <c r="L293" i="1"/>
  <c r="K293" i="1"/>
  <c r="O292" i="1"/>
  <c r="N292" i="1"/>
  <c r="M292" i="1"/>
  <c r="L292" i="1"/>
  <c r="K292" i="1"/>
  <c r="O291" i="1"/>
  <c r="N291" i="1"/>
  <c r="M291" i="1"/>
  <c r="L291" i="1"/>
  <c r="K291" i="1"/>
  <c r="O290" i="1"/>
  <c r="N290" i="1"/>
  <c r="M290" i="1"/>
  <c r="L290" i="1"/>
  <c r="K290" i="1"/>
  <c r="O289" i="1"/>
  <c r="N289" i="1"/>
  <c r="M289" i="1"/>
  <c r="L289" i="1"/>
  <c r="K289" i="1"/>
  <c r="O288" i="1"/>
  <c r="N288" i="1"/>
  <c r="M288" i="1"/>
  <c r="L288" i="1"/>
  <c r="K288" i="1"/>
  <c r="O287" i="1"/>
  <c r="N287" i="1"/>
  <c r="M287" i="1"/>
  <c r="L287" i="1"/>
  <c r="K287" i="1"/>
  <c r="O286" i="1"/>
  <c r="N286" i="1"/>
  <c r="M286" i="1"/>
  <c r="L286" i="1"/>
  <c r="K286" i="1"/>
  <c r="O285" i="1"/>
  <c r="N285" i="1"/>
  <c r="M285" i="1"/>
  <c r="L285" i="1"/>
  <c r="K285" i="1"/>
  <c r="O284" i="1"/>
  <c r="N284" i="1"/>
  <c r="M284" i="1"/>
  <c r="L284" i="1"/>
  <c r="K284" i="1"/>
  <c r="O283" i="1"/>
  <c r="N283" i="1"/>
  <c r="M283" i="1"/>
  <c r="L283" i="1"/>
  <c r="K283" i="1"/>
  <c r="O282" i="1"/>
  <c r="N282" i="1"/>
  <c r="M282" i="1"/>
  <c r="L282" i="1"/>
  <c r="K282" i="1"/>
  <c r="O281" i="1"/>
  <c r="N281" i="1"/>
  <c r="M281" i="1"/>
  <c r="L281" i="1"/>
  <c r="K281" i="1"/>
  <c r="O280" i="1"/>
  <c r="N280" i="1"/>
  <c r="M280" i="1"/>
  <c r="L280" i="1"/>
  <c r="K280" i="1"/>
  <c r="O279" i="1"/>
  <c r="N279" i="1"/>
  <c r="M279" i="1"/>
  <c r="L279" i="1"/>
  <c r="K279" i="1"/>
  <c r="O278" i="1"/>
  <c r="N278" i="1"/>
  <c r="M278" i="1"/>
  <c r="L278" i="1"/>
  <c r="K278" i="1"/>
  <c r="O277" i="1"/>
  <c r="N277" i="1"/>
  <c r="M277" i="1"/>
  <c r="L277" i="1"/>
  <c r="K277" i="1"/>
  <c r="O276" i="1"/>
  <c r="N276" i="1"/>
  <c r="M276" i="1"/>
  <c r="L276" i="1"/>
  <c r="K276" i="1"/>
  <c r="O275" i="1"/>
  <c r="N275" i="1"/>
  <c r="M275" i="1"/>
  <c r="L275" i="1"/>
  <c r="K275" i="1"/>
  <c r="O274" i="1"/>
  <c r="N274" i="1"/>
  <c r="M274" i="1"/>
  <c r="L274" i="1"/>
  <c r="K274" i="1"/>
  <c r="O273" i="1"/>
  <c r="N273" i="1"/>
  <c r="M273" i="1"/>
  <c r="L273" i="1"/>
  <c r="K273" i="1"/>
  <c r="O272" i="1"/>
  <c r="N272" i="1"/>
  <c r="M272" i="1"/>
  <c r="L272" i="1"/>
  <c r="K272" i="1"/>
  <c r="O271" i="1"/>
  <c r="N271" i="1"/>
  <c r="M271" i="1"/>
  <c r="L271" i="1"/>
  <c r="K271" i="1"/>
  <c r="O270" i="1"/>
  <c r="N270" i="1"/>
  <c r="M270" i="1"/>
  <c r="L270" i="1"/>
  <c r="K270" i="1"/>
  <c r="O269" i="1"/>
  <c r="N269" i="1"/>
  <c r="M269" i="1"/>
  <c r="L269" i="1"/>
  <c r="K269" i="1"/>
  <c r="O268" i="1"/>
  <c r="N268" i="1"/>
  <c r="M268" i="1"/>
  <c r="L268" i="1"/>
  <c r="K268" i="1"/>
  <c r="O267" i="1"/>
  <c r="N267" i="1"/>
  <c r="M267" i="1"/>
  <c r="L267" i="1"/>
  <c r="K267" i="1"/>
  <c r="O266" i="1"/>
  <c r="N266" i="1"/>
  <c r="M266" i="1"/>
  <c r="L266" i="1"/>
  <c r="K266" i="1"/>
  <c r="O265" i="1"/>
  <c r="N265" i="1"/>
  <c r="M265" i="1"/>
  <c r="L265" i="1"/>
  <c r="K265" i="1"/>
  <c r="O264" i="1"/>
  <c r="N264" i="1"/>
  <c r="M264" i="1"/>
  <c r="L264" i="1"/>
  <c r="K264" i="1"/>
  <c r="O263" i="1"/>
  <c r="N263" i="1"/>
  <c r="M263" i="1"/>
  <c r="L263" i="1"/>
  <c r="K263" i="1"/>
  <c r="O262" i="1"/>
  <c r="N262" i="1"/>
  <c r="M262" i="1"/>
  <c r="L262" i="1"/>
  <c r="K262" i="1"/>
  <c r="O261" i="1"/>
  <c r="N261" i="1"/>
  <c r="M261" i="1"/>
  <c r="L261" i="1"/>
  <c r="K261" i="1"/>
  <c r="O260" i="1"/>
  <c r="N260" i="1"/>
  <c r="M260" i="1"/>
  <c r="L260" i="1"/>
  <c r="K260" i="1"/>
  <c r="O259" i="1"/>
  <c r="N259" i="1"/>
  <c r="M259" i="1"/>
  <c r="L259" i="1"/>
  <c r="K259" i="1"/>
  <c r="O258" i="1"/>
  <c r="N258" i="1"/>
  <c r="M258" i="1"/>
  <c r="L258" i="1"/>
  <c r="K258" i="1"/>
  <c r="O257" i="1"/>
  <c r="N257" i="1"/>
  <c r="M257" i="1"/>
  <c r="L257" i="1"/>
  <c r="K257" i="1"/>
  <c r="O256" i="1"/>
  <c r="N256" i="1"/>
  <c r="M256" i="1"/>
  <c r="L256" i="1"/>
  <c r="K256" i="1"/>
  <c r="O255" i="1"/>
  <c r="N255" i="1"/>
  <c r="M255" i="1"/>
  <c r="L255" i="1"/>
  <c r="K255" i="1"/>
  <c r="O254" i="1"/>
  <c r="N254" i="1"/>
  <c r="M254" i="1"/>
  <c r="L254" i="1"/>
  <c r="K254" i="1"/>
  <c r="O253" i="1"/>
  <c r="N253" i="1"/>
  <c r="M253" i="1"/>
  <c r="L253" i="1"/>
  <c r="K253" i="1"/>
  <c r="O252" i="1"/>
  <c r="N252" i="1"/>
  <c r="M252" i="1"/>
  <c r="L252" i="1"/>
  <c r="K252" i="1"/>
  <c r="O251" i="1"/>
  <c r="N251" i="1"/>
  <c r="M251" i="1"/>
  <c r="L251" i="1"/>
  <c r="K251" i="1"/>
  <c r="O250" i="1"/>
  <c r="N250" i="1"/>
  <c r="M250" i="1"/>
  <c r="L250" i="1"/>
  <c r="K250" i="1"/>
  <c r="O249" i="1"/>
  <c r="N249" i="1"/>
  <c r="M249" i="1"/>
  <c r="L249" i="1"/>
  <c r="K249" i="1"/>
  <c r="O248" i="1"/>
  <c r="N248" i="1"/>
  <c r="M248" i="1"/>
  <c r="L248" i="1"/>
  <c r="K248" i="1"/>
  <c r="O247" i="1"/>
  <c r="N247" i="1"/>
  <c r="M247" i="1"/>
  <c r="L247" i="1"/>
  <c r="K247" i="1"/>
  <c r="O246" i="1"/>
  <c r="N246" i="1"/>
  <c r="M246" i="1"/>
  <c r="L246" i="1"/>
  <c r="K246" i="1"/>
  <c r="O245" i="1"/>
  <c r="N245" i="1"/>
  <c r="M245" i="1"/>
  <c r="L245" i="1"/>
  <c r="K245" i="1"/>
  <c r="O244" i="1"/>
  <c r="N244" i="1"/>
  <c r="M244" i="1"/>
  <c r="L244" i="1"/>
  <c r="K244" i="1"/>
  <c r="O243" i="1"/>
  <c r="N243" i="1"/>
  <c r="M243" i="1"/>
  <c r="L243" i="1"/>
  <c r="K243" i="1"/>
  <c r="O242" i="1"/>
  <c r="N242" i="1"/>
  <c r="M242" i="1"/>
  <c r="L242" i="1"/>
  <c r="K242" i="1"/>
  <c r="O241" i="1"/>
  <c r="N241" i="1"/>
  <c r="M241" i="1"/>
  <c r="L241" i="1"/>
  <c r="K241" i="1"/>
  <c r="O240" i="1"/>
  <c r="N240" i="1"/>
  <c r="M240" i="1"/>
  <c r="L240" i="1"/>
  <c r="K240" i="1"/>
  <c r="O239" i="1"/>
  <c r="N239" i="1"/>
  <c r="M239" i="1"/>
  <c r="L239" i="1"/>
  <c r="K239" i="1"/>
  <c r="O238" i="1"/>
  <c r="N238" i="1"/>
  <c r="M238" i="1"/>
  <c r="L238" i="1"/>
  <c r="K238" i="1"/>
  <c r="O237" i="1"/>
  <c r="N237" i="1"/>
  <c r="M237" i="1"/>
  <c r="L237" i="1"/>
  <c r="K237" i="1"/>
  <c r="O236" i="1"/>
  <c r="N236" i="1"/>
  <c r="M236" i="1"/>
  <c r="L236" i="1"/>
  <c r="K236" i="1"/>
  <c r="O235" i="1"/>
  <c r="N235" i="1"/>
  <c r="M235" i="1"/>
  <c r="L235" i="1"/>
  <c r="K235" i="1"/>
  <c r="O234" i="1"/>
  <c r="N234" i="1"/>
  <c r="M234" i="1"/>
  <c r="L234" i="1"/>
  <c r="K234" i="1"/>
  <c r="O233" i="1"/>
  <c r="N233" i="1"/>
  <c r="M233" i="1"/>
  <c r="L233" i="1"/>
  <c r="K233" i="1"/>
  <c r="O232" i="1"/>
  <c r="N232" i="1"/>
  <c r="M232" i="1"/>
  <c r="L232" i="1"/>
  <c r="K232" i="1"/>
  <c r="O231" i="1"/>
  <c r="N231" i="1"/>
  <c r="M231" i="1"/>
  <c r="L231" i="1"/>
  <c r="K231" i="1"/>
  <c r="O230" i="1"/>
  <c r="N230" i="1"/>
  <c r="M230" i="1"/>
  <c r="L230" i="1"/>
  <c r="K230" i="1"/>
  <c r="O229" i="1"/>
  <c r="N229" i="1"/>
  <c r="M229" i="1"/>
  <c r="L229" i="1"/>
  <c r="K229" i="1"/>
  <c r="O228" i="1"/>
  <c r="N228" i="1"/>
  <c r="M228" i="1"/>
  <c r="L228" i="1"/>
  <c r="K228" i="1"/>
  <c r="O227" i="1"/>
  <c r="N227" i="1"/>
  <c r="M227" i="1"/>
  <c r="L227" i="1"/>
  <c r="K227" i="1"/>
  <c r="O226" i="1"/>
  <c r="N226" i="1"/>
  <c r="M226" i="1"/>
  <c r="L226" i="1"/>
  <c r="K226" i="1"/>
  <c r="O225" i="1"/>
  <c r="N225" i="1"/>
  <c r="M225" i="1"/>
  <c r="L225" i="1"/>
  <c r="K225" i="1"/>
  <c r="O224" i="1"/>
  <c r="N224" i="1"/>
  <c r="M224" i="1"/>
  <c r="L224" i="1"/>
  <c r="K224" i="1"/>
  <c r="O223" i="1"/>
  <c r="N223" i="1"/>
  <c r="M223" i="1"/>
  <c r="L223" i="1"/>
  <c r="K223" i="1"/>
  <c r="O222" i="1"/>
  <c r="N222" i="1"/>
  <c r="M222" i="1"/>
  <c r="L222" i="1"/>
  <c r="K222" i="1"/>
  <c r="O221" i="1"/>
  <c r="N221" i="1"/>
  <c r="M221" i="1"/>
  <c r="L221" i="1"/>
  <c r="K221" i="1"/>
  <c r="O220" i="1"/>
  <c r="N220" i="1"/>
  <c r="M220" i="1"/>
  <c r="L220" i="1"/>
  <c r="K220" i="1"/>
  <c r="O219" i="1"/>
  <c r="N219" i="1"/>
  <c r="M219" i="1"/>
  <c r="L219" i="1"/>
  <c r="K219" i="1"/>
  <c r="O218" i="1"/>
  <c r="N218" i="1"/>
  <c r="M218" i="1"/>
  <c r="L218" i="1"/>
  <c r="K218" i="1"/>
  <c r="O217" i="1"/>
  <c r="N217" i="1"/>
  <c r="M217" i="1"/>
  <c r="L217" i="1"/>
  <c r="K217" i="1"/>
  <c r="O216" i="1"/>
  <c r="N216" i="1"/>
  <c r="M216" i="1"/>
  <c r="L216" i="1"/>
  <c r="K216" i="1"/>
  <c r="O215" i="1"/>
  <c r="N215" i="1"/>
  <c r="M215" i="1"/>
  <c r="L215" i="1"/>
  <c r="K215" i="1"/>
  <c r="O214" i="1"/>
  <c r="N214" i="1"/>
  <c r="M214" i="1"/>
  <c r="L214" i="1"/>
  <c r="K214" i="1"/>
  <c r="O213" i="1"/>
  <c r="N213" i="1"/>
  <c r="M213" i="1"/>
  <c r="L213" i="1"/>
  <c r="K213" i="1"/>
  <c r="O212" i="1"/>
  <c r="N212" i="1"/>
  <c r="M212" i="1"/>
  <c r="L212" i="1"/>
  <c r="K212" i="1"/>
  <c r="O211" i="1"/>
  <c r="N211" i="1"/>
  <c r="M211" i="1"/>
  <c r="L211" i="1"/>
  <c r="K211" i="1"/>
  <c r="O210" i="1"/>
  <c r="N210" i="1"/>
  <c r="M210" i="1"/>
  <c r="L210" i="1"/>
  <c r="K210" i="1"/>
  <c r="O209" i="1"/>
  <c r="N209" i="1"/>
  <c r="M209" i="1"/>
  <c r="L209" i="1"/>
  <c r="K209" i="1"/>
  <c r="O208" i="1"/>
  <c r="N208" i="1"/>
  <c r="M208" i="1"/>
  <c r="L208" i="1"/>
  <c r="K208" i="1"/>
  <c r="O207" i="1"/>
  <c r="N207" i="1"/>
  <c r="M207" i="1"/>
  <c r="L207" i="1"/>
  <c r="K207" i="1"/>
  <c r="O206" i="1"/>
  <c r="N206" i="1"/>
  <c r="M206" i="1"/>
  <c r="L206" i="1"/>
  <c r="K206" i="1"/>
  <c r="O205" i="1"/>
  <c r="N205" i="1"/>
  <c r="M205" i="1"/>
  <c r="L205" i="1"/>
  <c r="K205" i="1"/>
  <c r="O204" i="1"/>
  <c r="N204" i="1"/>
  <c r="M204" i="1"/>
  <c r="L204" i="1"/>
  <c r="K204" i="1"/>
  <c r="O203" i="1"/>
  <c r="N203" i="1"/>
  <c r="M203" i="1"/>
  <c r="L203" i="1"/>
  <c r="K203" i="1"/>
  <c r="O202" i="1"/>
  <c r="N202" i="1"/>
  <c r="M202" i="1"/>
  <c r="L202" i="1"/>
  <c r="K202" i="1"/>
  <c r="O201" i="1"/>
  <c r="N201" i="1"/>
  <c r="M201" i="1"/>
  <c r="L201" i="1"/>
  <c r="K201" i="1"/>
  <c r="O200" i="1"/>
  <c r="N200" i="1"/>
  <c r="M200" i="1"/>
  <c r="L200" i="1"/>
  <c r="K200" i="1"/>
  <c r="O199" i="1"/>
  <c r="N199" i="1"/>
  <c r="M199" i="1"/>
  <c r="L199" i="1"/>
  <c r="K199" i="1"/>
  <c r="O198" i="1"/>
  <c r="N198" i="1"/>
  <c r="M198" i="1"/>
  <c r="L198" i="1"/>
  <c r="K198" i="1"/>
  <c r="O197" i="1"/>
  <c r="N197" i="1"/>
  <c r="M197" i="1"/>
  <c r="L197" i="1"/>
  <c r="K197" i="1"/>
  <c r="O196" i="1"/>
  <c r="N196" i="1"/>
  <c r="M196" i="1"/>
  <c r="L196" i="1"/>
  <c r="K196" i="1"/>
  <c r="O195" i="1"/>
  <c r="N195" i="1"/>
  <c r="M195" i="1"/>
  <c r="L195" i="1"/>
  <c r="K195" i="1"/>
  <c r="O194" i="1"/>
  <c r="N194" i="1"/>
  <c r="M194" i="1"/>
  <c r="L194" i="1"/>
  <c r="K194" i="1"/>
  <c r="O193" i="1"/>
  <c r="N193" i="1"/>
  <c r="M193" i="1"/>
  <c r="L193" i="1"/>
  <c r="K193" i="1"/>
  <c r="O192" i="1"/>
  <c r="N192" i="1"/>
  <c r="M192" i="1"/>
  <c r="L192" i="1"/>
  <c r="K192" i="1"/>
  <c r="O191" i="1"/>
  <c r="N191" i="1"/>
  <c r="M191" i="1"/>
  <c r="L191" i="1"/>
  <c r="K191" i="1"/>
  <c r="O190" i="1"/>
  <c r="N190" i="1"/>
  <c r="M190" i="1"/>
  <c r="L190" i="1"/>
  <c r="K190" i="1"/>
  <c r="O189" i="1"/>
  <c r="N189" i="1"/>
  <c r="M189" i="1"/>
  <c r="L189" i="1"/>
  <c r="K189" i="1"/>
  <c r="O188" i="1"/>
  <c r="N188" i="1"/>
  <c r="M188" i="1"/>
  <c r="L188" i="1"/>
  <c r="K188" i="1"/>
  <c r="O187" i="1"/>
  <c r="N187" i="1"/>
  <c r="M187" i="1"/>
  <c r="L187" i="1"/>
  <c r="K187" i="1"/>
  <c r="O186" i="1"/>
  <c r="N186" i="1"/>
  <c r="M186" i="1"/>
  <c r="L186" i="1"/>
  <c r="K186" i="1"/>
  <c r="O185" i="1"/>
  <c r="N185" i="1"/>
  <c r="M185" i="1"/>
  <c r="L185" i="1"/>
  <c r="K185" i="1"/>
  <c r="O184" i="1"/>
  <c r="N184" i="1"/>
  <c r="M184" i="1"/>
  <c r="L184" i="1"/>
  <c r="K184" i="1"/>
  <c r="O183" i="1"/>
  <c r="N183" i="1"/>
  <c r="M183" i="1"/>
  <c r="L183" i="1"/>
  <c r="K183" i="1"/>
  <c r="O182" i="1"/>
  <c r="N182" i="1"/>
  <c r="M182" i="1"/>
  <c r="L182" i="1"/>
  <c r="K182" i="1"/>
  <c r="O181" i="1"/>
  <c r="N181" i="1"/>
  <c r="M181" i="1"/>
  <c r="L181" i="1"/>
  <c r="K181" i="1"/>
  <c r="O180" i="1"/>
  <c r="N180" i="1"/>
  <c r="M180" i="1"/>
  <c r="L180" i="1"/>
  <c r="K180" i="1"/>
  <c r="O179" i="1"/>
  <c r="N179" i="1"/>
  <c r="M179" i="1"/>
  <c r="L179" i="1"/>
  <c r="K179" i="1"/>
  <c r="O178" i="1"/>
  <c r="N178" i="1"/>
  <c r="M178" i="1"/>
  <c r="L178" i="1"/>
  <c r="K178" i="1"/>
  <c r="O177" i="1"/>
  <c r="N177" i="1"/>
  <c r="M177" i="1"/>
  <c r="L177" i="1"/>
  <c r="K177" i="1"/>
  <c r="O176" i="1"/>
  <c r="N176" i="1"/>
  <c r="M176" i="1"/>
  <c r="L176" i="1"/>
  <c r="K176" i="1"/>
  <c r="O175" i="1"/>
  <c r="N175" i="1"/>
  <c r="M175" i="1"/>
  <c r="L175" i="1"/>
  <c r="K175" i="1"/>
  <c r="O174" i="1"/>
  <c r="N174" i="1"/>
  <c r="M174" i="1"/>
  <c r="L174" i="1"/>
  <c r="K174" i="1"/>
  <c r="O173" i="1"/>
  <c r="N173" i="1"/>
  <c r="M173" i="1"/>
  <c r="L173" i="1"/>
  <c r="K173" i="1"/>
  <c r="O172" i="1"/>
  <c r="N172" i="1"/>
  <c r="M172" i="1"/>
  <c r="L172" i="1"/>
  <c r="K172" i="1"/>
  <c r="O171" i="1"/>
  <c r="N171" i="1"/>
  <c r="M171" i="1"/>
  <c r="L171" i="1"/>
  <c r="K171" i="1"/>
  <c r="O170" i="1"/>
  <c r="N170" i="1"/>
  <c r="M170" i="1"/>
  <c r="L170" i="1"/>
  <c r="K170" i="1"/>
  <c r="O169" i="1"/>
  <c r="N169" i="1"/>
  <c r="M169" i="1"/>
  <c r="L169" i="1"/>
  <c r="K169" i="1"/>
  <c r="O168" i="1"/>
  <c r="N168" i="1"/>
  <c r="M168" i="1"/>
  <c r="L168" i="1"/>
  <c r="K168" i="1"/>
  <c r="O167" i="1"/>
  <c r="N167" i="1"/>
  <c r="M167" i="1"/>
  <c r="L167" i="1"/>
  <c r="K167" i="1"/>
  <c r="O166" i="1"/>
  <c r="N166" i="1"/>
  <c r="M166" i="1"/>
  <c r="L166" i="1"/>
  <c r="K166" i="1"/>
  <c r="O165" i="1"/>
  <c r="N165" i="1"/>
  <c r="M165" i="1"/>
  <c r="L165" i="1"/>
  <c r="K165" i="1"/>
  <c r="O164" i="1"/>
  <c r="N164" i="1"/>
  <c r="M164" i="1"/>
  <c r="L164" i="1"/>
  <c r="K164" i="1"/>
  <c r="O163" i="1"/>
  <c r="N163" i="1"/>
  <c r="M163" i="1"/>
  <c r="L163" i="1"/>
  <c r="K163" i="1"/>
  <c r="O162" i="1"/>
  <c r="N162" i="1"/>
  <c r="M162" i="1"/>
  <c r="L162" i="1"/>
  <c r="K162" i="1"/>
  <c r="O161" i="1"/>
  <c r="N161" i="1"/>
  <c r="M161" i="1"/>
  <c r="L161" i="1"/>
  <c r="K161" i="1"/>
  <c r="O160" i="1"/>
  <c r="N160" i="1"/>
  <c r="M160" i="1"/>
  <c r="L160" i="1"/>
  <c r="K160" i="1"/>
  <c r="O159" i="1"/>
  <c r="N159" i="1"/>
  <c r="M159" i="1"/>
  <c r="L159" i="1"/>
  <c r="K159" i="1"/>
  <c r="O158" i="1"/>
  <c r="N158" i="1"/>
  <c r="M158" i="1"/>
  <c r="L158" i="1"/>
  <c r="K158" i="1"/>
  <c r="O157" i="1"/>
  <c r="N157" i="1"/>
  <c r="M157" i="1"/>
  <c r="L157" i="1"/>
  <c r="K157" i="1"/>
  <c r="O156" i="1"/>
  <c r="N156" i="1"/>
  <c r="M156" i="1"/>
  <c r="L156" i="1"/>
  <c r="K156" i="1"/>
  <c r="O155" i="1"/>
  <c r="N155" i="1"/>
  <c r="M155" i="1"/>
  <c r="L155" i="1"/>
  <c r="K155" i="1"/>
  <c r="O154" i="1"/>
  <c r="N154" i="1"/>
  <c r="M154" i="1"/>
  <c r="L154" i="1"/>
  <c r="K154" i="1"/>
  <c r="O153" i="1"/>
  <c r="N153" i="1"/>
  <c r="M153" i="1"/>
  <c r="L153" i="1"/>
  <c r="K153" i="1"/>
  <c r="O152" i="1"/>
  <c r="N152" i="1"/>
  <c r="M152" i="1"/>
  <c r="L152" i="1"/>
  <c r="K152" i="1"/>
  <c r="O151" i="1"/>
  <c r="N151" i="1"/>
  <c r="M151" i="1"/>
  <c r="L151" i="1"/>
  <c r="K151" i="1"/>
  <c r="O150" i="1"/>
  <c r="N150" i="1"/>
  <c r="M150" i="1"/>
  <c r="L150" i="1"/>
  <c r="K150" i="1"/>
  <c r="O149" i="1"/>
  <c r="N149" i="1"/>
  <c r="M149" i="1"/>
  <c r="L149" i="1"/>
  <c r="K149" i="1"/>
  <c r="O148" i="1"/>
  <c r="N148" i="1"/>
  <c r="M148" i="1"/>
  <c r="L148" i="1"/>
  <c r="K148" i="1"/>
  <c r="O147" i="1"/>
  <c r="N147" i="1"/>
  <c r="M147" i="1"/>
  <c r="L147" i="1"/>
  <c r="K147" i="1"/>
  <c r="O146" i="1"/>
  <c r="N146" i="1"/>
  <c r="M146" i="1"/>
  <c r="L146" i="1"/>
  <c r="K146" i="1"/>
  <c r="O145" i="1"/>
  <c r="N145" i="1"/>
  <c r="M145" i="1"/>
  <c r="L145" i="1"/>
  <c r="K145" i="1"/>
  <c r="O144" i="1"/>
  <c r="N144" i="1"/>
  <c r="M144" i="1"/>
  <c r="L144" i="1"/>
  <c r="K144" i="1"/>
  <c r="O143" i="1"/>
  <c r="N143" i="1"/>
  <c r="M143" i="1"/>
  <c r="L143" i="1"/>
  <c r="K143" i="1"/>
  <c r="O142" i="1"/>
  <c r="N142" i="1"/>
  <c r="M142" i="1"/>
  <c r="L142" i="1"/>
  <c r="K142" i="1"/>
  <c r="O141" i="1"/>
  <c r="N141" i="1"/>
  <c r="M141" i="1"/>
  <c r="L141" i="1"/>
  <c r="K141" i="1"/>
  <c r="O140" i="1"/>
  <c r="N140" i="1"/>
  <c r="M140" i="1"/>
  <c r="L140" i="1"/>
  <c r="K140" i="1"/>
  <c r="O139" i="1"/>
  <c r="N139" i="1"/>
  <c r="M139" i="1"/>
  <c r="L139" i="1"/>
  <c r="K139" i="1"/>
  <c r="O138" i="1"/>
  <c r="N138" i="1"/>
  <c r="M138" i="1"/>
  <c r="L138" i="1"/>
  <c r="K138" i="1"/>
  <c r="O137" i="1"/>
  <c r="N137" i="1"/>
  <c r="M137" i="1"/>
  <c r="L137" i="1"/>
  <c r="K137" i="1"/>
  <c r="O136" i="1"/>
  <c r="N136" i="1"/>
  <c r="M136" i="1"/>
  <c r="L136" i="1"/>
  <c r="K136" i="1"/>
  <c r="O135" i="1"/>
  <c r="N135" i="1"/>
  <c r="M135" i="1"/>
  <c r="L135" i="1"/>
  <c r="K135" i="1"/>
  <c r="O134" i="1"/>
  <c r="N134" i="1"/>
  <c r="M134" i="1"/>
  <c r="L134" i="1"/>
  <c r="K134" i="1"/>
  <c r="O133" i="1"/>
  <c r="N133" i="1"/>
  <c r="M133" i="1"/>
  <c r="L133" i="1"/>
  <c r="K133" i="1"/>
  <c r="O132" i="1"/>
  <c r="N132" i="1"/>
  <c r="M132" i="1"/>
  <c r="L132" i="1"/>
  <c r="K132" i="1"/>
  <c r="O131" i="1"/>
  <c r="N131" i="1"/>
  <c r="M131" i="1"/>
  <c r="L131" i="1"/>
  <c r="K131" i="1"/>
  <c r="O130" i="1"/>
  <c r="N130" i="1"/>
  <c r="M130" i="1"/>
  <c r="L130" i="1"/>
  <c r="K130" i="1"/>
  <c r="O129" i="1"/>
  <c r="N129" i="1"/>
  <c r="M129" i="1"/>
  <c r="L129" i="1"/>
  <c r="K129" i="1"/>
  <c r="O128" i="1"/>
  <c r="N128" i="1"/>
  <c r="M128" i="1"/>
  <c r="L128" i="1"/>
  <c r="K128" i="1"/>
  <c r="O127" i="1"/>
  <c r="N127" i="1"/>
  <c r="M127" i="1"/>
  <c r="L127" i="1"/>
  <c r="K127" i="1"/>
  <c r="O126" i="1"/>
  <c r="N126" i="1"/>
  <c r="M126" i="1"/>
  <c r="L126" i="1"/>
  <c r="K126" i="1"/>
  <c r="O125" i="1"/>
  <c r="N125" i="1"/>
  <c r="M125" i="1"/>
  <c r="L125" i="1"/>
  <c r="K125" i="1"/>
  <c r="O124" i="1"/>
  <c r="N124" i="1"/>
  <c r="M124" i="1"/>
  <c r="L124" i="1"/>
  <c r="K124" i="1"/>
  <c r="O123" i="1"/>
  <c r="N123" i="1"/>
  <c r="M123" i="1"/>
  <c r="L123" i="1"/>
  <c r="K123" i="1"/>
  <c r="O122" i="1"/>
  <c r="N122" i="1"/>
  <c r="M122" i="1"/>
  <c r="L122" i="1"/>
  <c r="K122" i="1"/>
  <c r="O121" i="1"/>
  <c r="N121" i="1"/>
  <c r="M121" i="1"/>
  <c r="L121" i="1"/>
  <c r="K121" i="1"/>
  <c r="O120" i="1"/>
  <c r="N120" i="1"/>
  <c r="M120" i="1"/>
  <c r="L120" i="1"/>
  <c r="K120" i="1"/>
  <c r="O119" i="1"/>
  <c r="N119" i="1"/>
  <c r="M119" i="1"/>
  <c r="L119" i="1"/>
  <c r="K119" i="1"/>
  <c r="O118" i="1"/>
  <c r="N118" i="1"/>
  <c r="M118" i="1"/>
  <c r="L118" i="1"/>
  <c r="K118" i="1"/>
  <c r="O117" i="1"/>
  <c r="N117" i="1"/>
  <c r="M117" i="1"/>
  <c r="L117" i="1"/>
  <c r="K117" i="1"/>
  <c r="O116" i="1"/>
  <c r="N116" i="1"/>
  <c r="M116" i="1"/>
  <c r="L116" i="1"/>
  <c r="K116" i="1"/>
  <c r="O115" i="1"/>
  <c r="N115" i="1"/>
  <c r="M115" i="1"/>
  <c r="L115" i="1"/>
  <c r="K115" i="1"/>
  <c r="O114" i="1"/>
  <c r="N114" i="1"/>
  <c r="M114" i="1"/>
  <c r="L114" i="1"/>
  <c r="K114" i="1"/>
  <c r="O113" i="1"/>
  <c r="N113" i="1"/>
  <c r="M113" i="1"/>
  <c r="L113" i="1"/>
  <c r="K113" i="1"/>
  <c r="O112" i="1"/>
  <c r="N112" i="1"/>
  <c r="M112" i="1"/>
  <c r="L112" i="1"/>
  <c r="K112" i="1"/>
  <c r="O111" i="1"/>
  <c r="N111" i="1"/>
  <c r="M111" i="1"/>
  <c r="L111" i="1"/>
  <c r="K111" i="1"/>
  <c r="O110" i="1"/>
  <c r="N110" i="1"/>
  <c r="M110" i="1"/>
  <c r="L110" i="1"/>
  <c r="K110" i="1"/>
  <c r="O109" i="1"/>
  <c r="N109" i="1"/>
  <c r="M109" i="1"/>
  <c r="L109" i="1"/>
  <c r="K109" i="1"/>
  <c r="O108" i="1"/>
  <c r="N108" i="1"/>
  <c r="M108" i="1"/>
  <c r="L108" i="1"/>
  <c r="K108" i="1"/>
  <c r="O107" i="1"/>
  <c r="N107" i="1"/>
  <c r="M107" i="1"/>
  <c r="L107" i="1"/>
  <c r="K107" i="1"/>
  <c r="O106" i="1"/>
  <c r="N106" i="1"/>
  <c r="M106" i="1"/>
  <c r="L106" i="1"/>
  <c r="K106" i="1"/>
  <c r="O105" i="1"/>
  <c r="N105" i="1"/>
  <c r="M105" i="1"/>
  <c r="L105" i="1"/>
  <c r="K105" i="1"/>
  <c r="O104" i="1"/>
  <c r="N104" i="1"/>
  <c r="M104" i="1"/>
  <c r="L104" i="1"/>
  <c r="K104" i="1"/>
  <c r="O103" i="1"/>
  <c r="N103" i="1"/>
  <c r="M103" i="1"/>
  <c r="L103" i="1"/>
  <c r="K103" i="1"/>
  <c r="O102" i="1"/>
  <c r="N102" i="1"/>
  <c r="M102" i="1"/>
  <c r="L102" i="1"/>
  <c r="K102" i="1"/>
  <c r="O101" i="1"/>
  <c r="N101" i="1"/>
  <c r="M101" i="1"/>
  <c r="L101" i="1"/>
  <c r="K101" i="1"/>
  <c r="O100" i="1"/>
  <c r="N100" i="1"/>
  <c r="M100" i="1"/>
  <c r="L100" i="1"/>
  <c r="K100" i="1"/>
  <c r="O99" i="1"/>
  <c r="N99" i="1"/>
  <c r="M99" i="1"/>
  <c r="L99" i="1"/>
  <c r="K99" i="1"/>
  <c r="O98" i="1"/>
  <c r="N98" i="1"/>
  <c r="M98" i="1"/>
  <c r="L98" i="1"/>
  <c r="K98" i="1"/>
  <c r="O97" i="1"/>
  <c r="N97" i="1"/>
  <c r="M97" i="1"/>
  <c r="L97" i="1"/>
  <c r="K97" i="1"/>
  <c r="O96" i="1"/>
  <c r="N96" i="1"/>
  <c r="M96" i="1"/>
  <c r="L96" i="1"/>
  <c r="K96" i="1"/>
  <c r="O95" i="1"/>
  <c r="N95" i="1"/>
  <c r="M95" i="1"/>
  <c r="L95" i="1"/>
  <c r="K95" i="1"/>
  <c r="O94" i="1"/>
  <c r="N94" i="1"/>
  <c r="M94" i="1"/>
  <c r="L94" i="1"/>
  <c r="K94" i="1"/>
  <c r="O93" i="1"/>
  <c r="N93" i="1"/>
  <c r="M93" i="1"/>
  <c r="L93" i="1"/>
  <c r="K93" i="1"/>
  <c r="O92" i="1"/>
  <c r="N92" i="1"/>
  <c r="M92" i="1"/>
  <c r="L92" i="1"/>
  <c r="K92" i="1"/>
  <c r="O91" i="1"/>
  <c r="N91" i="1"/>
  <c r="M91" i="1"/>
  <c r="L91" i="1"/>
  <c r="K91" i="1"/>
  <c r="O90" i="1"/>
  <c r="N90" i="1"/>
  <c r="M90" i="1"/>
  <c r="L90" i="1"/>
  <c r="K90" i="1"/>
  <c r="O89" i="1"/>
  <c r="N89" i="1"/>
  <c r="M89" i="1"/>
  <c r="L89" i="1"/>
  <c r="K89" i="1"/>
  <c r="O88" i="1"/>
  <c r="N88" i="1"/>
  <c r="M88" i="1"/>
  <c r="L88" i="1"/>
  <c r="K88" i="1"/>
  <c r="O87" i="1"/>
  <c r="N87" i="1"/>
  <c r="M87" i="1"/>
  <c r="L87" i="1"/>
  <c r="K87" i="1"/>
  <c r="O86" i="1"/>
  <c r="N86" i="1"/>
  <c r="M86" i="1"/>
  <c r="L86" i="1"/>
  <c r="K86" i="1"/>
  <c r="O85" i="1"/>
  <c r="N85" i="1"/>
  <c r="M85" i="1"/>
  <c r="L85" i="1"/>
  <c r="K85" i="1"/>
  <c r="O84" i="1"/>
  <c r="N84" i="1"/>
  <c r="M84" i="1"/>
  <c r="L84" i="1"/>
  <c r="K84" i="1"/>
  <c r="O83" i="1"/>
  <c r="N83" i="1"/>
  <c r="M83" i="1"/>
  <c r="L83" i="1"/>
  <c r="K83" i="1"/>
  <c r="O82" i="1"/>
  <c r="N82" i="1"/>
  <c r="M82" i="1"/>
  <c r="L82" i="1"/>
  <c r="K82" i="1"/>
  <c r="O81" i="1"/>
  <c r="N81" i="1"/>
  <c r="M81" i="1"/>
  <c r="L81" i="1"/>
  <c r="K81" i="1"/>
  <c r="O80" i="1"/>
  <c r="N80" i="1"/>
  <c r="M80" i="1"/>
  <c r="L80" i="1"/>
  <c r="K80" i="1"/>
  <c r="O79" i="1"/>
  <c r="N79" i="1"/>
  <c r="M79" i="1"/>
  <c r="L79" i="1"/>
  <c r="K79" i="1"/>
  <c r="O78" i="1"/>
  <c r="N78" i="1"/>
  <c r="M78" i="1"/>
  <c r="L78" i="1"/>
  <c r="K78" i="1"/>
  <c r="O77" i="1"/>
  <c r="N77" i="1"/>
  <c r="M77" i="1"/>
  <c r="L77" i="1"/>
  <c r="K77" i="1"/>
  <c r="O76" i="1"/>
  <c r="N76" i="1"/>
  <c r="M76" i="1"/>
  <c r="L76" i="1"/>
  <c r="K76" i="1"/>
  <c r="O75" i="1"/>
  <c r="N75" i="1"/>
  <c r="M75" i="1"/>
  <c r="L75" i="1"/>
  <c r="K75" i="1"/>
  <c r="O74" i="1"/>
  <c r="N74" i="1"/>
  <c r="M74" i="1"/>
  <c r="L74" i="1"/>
  <c r="K74" i="1"/>
  <c r="O73" i="1"/>
  <c r="N73" i="1"/>
  <c r="M73" i="1"/>
  <c r="L73" i="1"/>
  <c r="K73" i="1"/>
  <c r="O72" i="1"/>
  <c r="N72" i="1"/>
  <c r="M72" i="1"/>
  <c r="L72" i="1"/>
  <c r="K72" i="1"/>
  <c r="O71" i="1"/>
  <c r="N71" i="1"/>
  <c r="M71" i="1"/>
  <c r="L71" i="1"/>
  <c r="K71" i="1"/>
  <c r="O70" i="1"/>
  <c r="N70" i="1"/>
  <c r="M70" i="1"/>
  <c r="L70" i="1"/>
  <c r="K70" i="1"/>
  <c r="O69" i="1"/>
  <c r="N69" i="1"/>
  <c r="M69" i="1"/>
  <c r="L69" i="1"/>
  <c r="K69" i="1"/>
  <c r="O68" i="1"/>
  <c r="N68" i="1"/>
  <c r="M68" i="1"/>
  <c r="L68" i="1"/>
  <c r="K68" i="1"/>
  <c r="O67" i="1"/>
  <c r="N67" i="1"/>
  <c r="M67" i="1"/>
  <c r="L67" i="1"/>
  <c r="K67" i="1"/>
  <c r="O66" i="1"/>
  <c r="N66" i="1"/>
  <c r="M66" i="1"/>
  <c r="L66" i="1"/>
  <c r="K66" i="1"/>
  <c r="O65" i="1"/>
  <c r="N65" i="1"/>
  <c r="M65" i="1"/>
  <c r="L65" i="1"/>
  <c r="K65" i="1"/>
  <c r="O64" i="1"/>
  <c r="N64" i="1"/>
  <c r="M64" i="1"/>
  <c r="L64" i="1"/>
  <c r="K64" i="1"/>
  <c r="O63" i="1"/>
  <c r="N63" i="1"/>
  <c r="M63" i="1"/>
  <c r="L63" i="1"/>
  <c r="K63" i="1"/>
  <c r="O62" i="1"/>
  <c r="N62" i="1"/>
  <c r="M62" i="1"/>
  <c r="L62" i="1"/>
  <c r="K62" i="1"/>
  <c r="O61" i="1"/>
  <c r="N61" i="1"/>
  <c r="M61" i="1"/>
  <c r="L61" i="1"/>
  <c r="K61" i="1"/>
  <c r="O60" i="1"/>
  <c r="N60" i="1"/>
  <c r="M60" i="1"/>
  <c r="L60" i="1"/>
  <c r="K60" i="1"/>
  <c r="O59" i="1"/>
  <c r="N59" i="1"/>
  <c r="M59" i="1"/>
  <c r="L59" i="1"/>
  <c r="K59" i="1"/>
  <c r="O58" i="1"/>
  <c r="N58" i="1"/>
  <c r="M58" i="1"/>
  <c r="L58" i="1"/>
  <c r="K58" i="1"/>
  <c r="O57" i="1"/>
  <c r="N57" i="1"/>
  <c r="M57" i="1"/>
  <c r="L57" i="1"/>
  <c r="K57" i="1"/>
  <c r="O56" i="1"/>
  <c r="N56" i="1"/>
  <c r="M56" i="1"/>
  <c r="L56" i="1"/>
  <c r="K56" i="1"/>
  <c r="O55" i="1"/>
  <c r="N55" i="1"/>
  <c r="M55" i="1"/>
  <c r="L55" i="1"/>
  <c r="K55" i="1"/>
  <c r="O54" i="1"/>
  <c r="N54" i="1"/>
  <c r="M54" i="1"/>
  <c r="L54" i="1"/>
  <c r="K54" i="1"/>
  <c r="O53" i="1"/>
  <c r="N53" i="1"/>
  <c r="M53" i="1"/>
  <c r="L53" i="1"/>
  <c r="K53" i="1"/>
  <c r="O52" i="1"/>
  <c r="N52" i="1"/>
  <c r="M52" i="1"/>
  <c r="L52" i="1"/>
  <c r="K52" i="1"/>
  <c r="O51" i="1"/>
  <c r="N51" i="1"/>
  <c r="M51" i="1"/>
  <c r="L51" i="1"/>
  <c r="K51" i="1"/>
  <c r="O50" i="1"/>
  <c r="N50" i="1"/>
  <c r="M50" i="1"/>
  <c r="L50" i="1"/>
  <c r="K50" i="1"/>
  <c r="O49" i="1"/>
  <c r="N49" i="1"/>
  <c r="M49" i="1"/>
  <c r="L49" i="1"/>
  <c r="K49" i="1"/>
  <c r="O48" i="1"/>
  <c r="N48" i="1"/>
  <c r="M48" i="1"/>
  <c r="L48" i="1"/>
  <c r="K48" i="1"/>
  <c r="O47" i="1"/>
  <c r="N47" i="1"/>
  <c r="M47" i="1"/>
  <c r="L47" i="1"/>
  <c r="K47" i="1"/>
  <c r="O46" i="1"/>
  <c r="N46" i="1"/>
  <c r="M46" i="1"/>
  <c r="L46" i="1"/>
  <c r="K46" i="1"/>
  <c r="O45" i="1"/>
  <c r="N45" i="1"/>
  <c r="M45" i="1"/>
  <c r="L45" i="1"/>
  <c r="K45" i="1"/>
  <c r="O44" i="1"/>
  <c r="N44" i="1"/>
  <c r="M44" i="1"/>
  <c r="L44" i="1"/>
  <c r="K44" i="1"/>
  <c r="O43" i="1"/>
  <c r="N43" i="1"/>
  <c r="M43" i="1"/>
  <c r="L43" i="1"/>
  <c r="K43" i="1"/>
  <c r="O42" i="1"/>
  <c r="N42" i="1"/>
  <c r="M42" i="1"/>
  <c r="L42" i="1"/>
  <c r="K42" i="1"/>
  <c r="O41" i="1"/>
  <c r="N41" i="1"/>
  <c r="M41" i="1"/>
  <c r="L41" i="1"/>
  <c r="K41" i="1"/>
  <c r="O40" i="1"/>
  <c r="N40" i="1"/>
  <c r="M40" i="1"/>
  <c r="L40" i="1"/>
  <c r="K40" i="1"/>
  <c r="O39" i="1"/>
  <c r="N39" i="1"/>
  <c r="M39" i="1"/>
  <c r="L39" i="1"/>
  <c r="K39" i="1"/>
  <c r="O38" i="1"/>
  <c r="N38" i="1"/>
  <c r="M38" i="1"/>
  <c r="L38" i="1"/>
  <c r="K38" i="1"/>
  <c r="O37" i="1"/>
  <c r="N37" i="1"/>
  <c r="M37" i="1"/>
  <c r="L37" i="1"/>
  <c r="K37" i="1"/>
  <c r="O36" i="1"/>
  <c r="N36" i="1"/>
  <c r="M36" i="1"/>
  <c r="L36" i="1"/>
  <c r="K36" i="1"/>
  <c r="O35" i="1"/>
  <c r="N35" i="1"/>
  <c r="M35" i="1"/>
  <c r="L35" i="1"/>
  <c r="K35" i="1"/>
  <c r="O34" i="1"/>
  <c r="N34" i="1"/>
  <c r="M34" i="1"/>
  <c r="L34" i="1"/>
  <c r="K34" i="1"/>
  <c r="O33" i="1"/>
  <c r="N33" i="1"/>
  <c r="M33" i="1"/>
  <c r="L33" i="1"/>
  <c r="K33" i="1"/>
  <c r="O32" i="1"/>
  <c r="N32" i="1"/>
  <c r="M32" i="1"/>
  <c r="L32" i="1"/>
  <c r="K32" i="1"/>
  <c r="O31" i="1"/>
  <c r="N31" i="1"/>
  <c r="M31" i="1"/>
  <c r="L31" i="1"/>
  <c r="K31" i="1"/>
  <c r="O30" i="1"/>
  <c r="N30" i="1"/>
  <c r="M30" i="1"/>
  <c r="L30" i="1"/>
  <c r="K30" i="1"/>
  <c r="O29" i="1"/>
  <c r="N29" i="1"/>
  <c r="M29" i="1"/>
  <c r="L29" i="1"/>
  <c r="K29" i="1"/>
  <c r="O28" i="1"/>
  <c r="N28" i="1"/>
  <c r="M28" i="1"/>
  <c r="L28" i="1"/>
  <c r="K28" i="1"/>
  <c r="O27" i="1"/>
  <c r="N27" i="1"/>
  <c r="M27" i="1"/>
  <c r="L27" i="1"/>
  <c r="K27" i="1"/>
  <c r="O26" i="1"/>
  <c r="N26" i="1"/>
  <c r="M26" i="1"/>
  <c r="L26" i="1"/>
  <c r="K26" i="1"/>
  <c r="O25" i="1"/>
  <c r="N25" i="1"/>
  <c r="M25" i="1"/>
  <c r="L25" i="1"/>
  <c r="K25" i="1"/>
  <c r="O24" i="1"/>
  <c r="N24" i="1"/>
  <c r="M24" i="1"/>
  <c r="L24" i="1"/>
  <c r="K24" i="1"/>
  <c r="O23" i="1"/>
  <c r="N23" i="1"/>
  <c r="M23" i="1"/>
  <c r="L23" i="1"/>
  <c r="K23" i="1"/>
  <c r="O22" i="1"/>
  <c r="N22" i="1"/>
  <c r="M22" i="1"/>
  <c r="L22" i="1"/>
  <c r="K22" i="1"/>
  <c r="O21" i="1"/>
  <c r="N21" i="1"/>
  <c r="M21" i="1"/>
  <c r="L21" i="1"/>
  <c r="K21" i="1"/>
  <c r="O20" i="1"/>
  <c r="N20" i="1"/>
  <c r="M20" i="1"/>
  <c r="L20" i="1"/>
  <c r="K20" i="1"/>
  <c r="O19" i="1"/>
  <c r="N19" i="1"/>
  <c r="M19" i="1"/>
  <c r="L19" i="1"/>
  <c r="K19" i="1"/>
  <c r="O18" i="1"/>
  <c r="N18" i="1"/>
  <c r="M18" i="1"/>
  <c r="L18" i="1"/>
  <c r="K18" i="1"/>
  <c r="O17" i="1"/>
  <c r="N17" i="1"/>
  <c r="M17" i="1"/>
  <c r="L17" i="1"/>
  <c r="K17" i="1"/>
  <c r="O16" i="1"/>
  <c r="N16" i="1"/>
  <c r="M16" i="1"/>
  <c r="L16" i="1"/>
  <c r="K16" i="1"/>
  <c r="O15" i="1"/>
  <c r="N15" i="1"/>
  <c r="M15" i="1"/>
  <c r="L15" i="1"/>
  <c r="K15" i="1"/>
  <c r="O14" i="1"/>
  <c r="N14" i="1"/>
  <c r="M14" i="1"/>
  <c r="L14" i="1"/>
  <c r="K14" i="1"/>
  <c r="O13" i="1"/>
  <c r="N13" i="1"/>
  <c r="M13" i="1"/>
  <c r="L13" i="1"/>
  <c r="K13" i="1"/>
  <c r="O12" i="1"/>
  <c r="N12" i="1"/>
  <c r="M12" i="1"/>
  <c r="L12" i="1"/>
  <c r="K12" i="1"/>
  <c r="O11" i="1"/>
  <c r="N11" i="1"/>
  <c r="M11" i="1"/>
  <c r="L11" i="1"/>
  <c r="K11" i="1"/>
  <c r="O10" i="1"/>
  <c r="N10" i="1"/>
  <c r="M10" i="1"/>
  <c r="L10" i="1"/>
  <c r="K10" i="1"/>
  <c r="O9" i="1"/>
  <c r="N9" i="1"/>
  <c r="M9" i="1"/>
  <c r="L9" i="1"/>
  <c r="K9" i="1"/>
  <c r="O8" i="1"/>
  <c r="N8" i="1"/>
  <c r="M8" i="1"/>
  <c r="L8" i="1"/>
  <c r="K8" i="1"/>
  <c r="O7" i="1"/>
  <c r="N7" i="1"/>
  <c r="M7" i="1"/>
  <c r="L7" i="1"/>
  <c r="K7" i="1"/>
  <c r="O6" i="1"/>
  <c r="N6" i="1"/>
  <c r="M6" i="1"/>
  <c r="L6" i="1"/>
  <c r="K6" i="1"/>
  <c r="O5" i="1"/>
  <c r="N5" i="1"/>
  <c r="M5" i="1"/>
  <c r="L5" i="1"/>
  <c r="K5" i="1"/>
  <c r="O4" i="1"/>
  <c r="N4" i="1"/>
  <c r="M4" i="1"/>
  <c r="L4" i="1"/>
  <c r="K4" i="1"/>
  <c r="O3" i="1"/>
  <c r="N3" i="1"/>
  <c r="M3" i="1"/>
  <c r="L3" i="1"/>
  <c r="K3" i="1"/>
  <c r="O2" i="1"/>
  <c r="N2" i="1"/>
  <c r="M2" i="1"/>
  <c r="L2" i="1"/>
  <c r="K2" i="1"/>
</calcChain>
</file>

<file path=xl/sharedStrings.xml><?xml version="1.0" encoding="utf-8"?>
<sst xmlns="http://schemas.openxmlformats.org/spreadsheetml/2006/main" count="7925" uniqueCount="1098">
  <si>
    <t>Région</t>
  </si>
  <si>
    <t>Libellé Département</t>
  </si>
  <si>
    <t>Département</t>
  </si>
  <si>
    <t>Nom de l'EPCI</t>
  </si>
  <si>
    <t>SIRET de l'EPCI</t>
  </si>
  <si>
    <t>Année de référence</t>
  </si>
  <si>
    <t>EPCI concerné par l'obligation ?</t>
  </si>
  <si>
    <t>Q1 annuel</t>
  </si>
  <si>
    <t>Q2 annuel</t>
  </si>
  <si>
    <t>Q3 annuel</t>
  </si>
  <si>
    <t>Q1 mensuel</t>
  </si>
  <si>
    <t>Q2 mensuel</t>
  </si>
  <si>
    <t>Q3 mensuel</t>
  </si>
  <si>
    <t>Clé</t>
  </si>
  <si>
    <t>Zone</t>
  </si>
  <si>
    <t>Auvergne-Rhône-Alpes</t>
  </si>
  <si>
    <t>Ain</t>
  </si>
  <si>
    <t>01 - Ain</t>
  </si>
  <si>
    <t>CA du Bassin de Bourg-en-Bresse</t>
  </si>
  <si>
    <t>200071751</t>
  </si>
  <si>
    <t>2025</t>
  </si>
  <si>
    <t>oui</t>
  </si>
  <si>
    <t>CA du Pays de Gex</t>
  </si>
  <si>
    <t>240100750</t>
  </si>
  <si>
    <t>CA Haut-Bugey Agglomération</t>
  </si>
  <si>
    <t>200042935</t>
  </si>
  <si>
    <t>CA Mâconnais Beaujolais Agglomération</t>
  </si>
  <si>
    <t>200070308</t>
  </si>
  <si>
    <t>CA Villefranche Beaujolais Saône</t>
  </si>
  <si>
    <t>200040590</t>
  </si>
  <si>
    <t>CC Bugey Sud</t>
  </si>
  <si>
    <t>200040350</t>
  </si>
  <si>
    <t>CC de la Côtière à Montluel</t>
  </si>
  <si>
    <t>240100610</t>
  </si>
  <si>
    <t>CC de la Plaine de l'Ain</t>
  </si>
  <si>
    <t>240100883</t>
  </si>
  <si>
    <t>Allier</t>
  </si>
  <si>
    <t>03 - Allier</t>
  </si>
  <si>
    <t>CA Montluçon Communauté</t>
  </si>
  <si>
    <t>200071082</t>
  </si>
  <si>
    <t>CA Moulins Communauté</t>
  </si>
  <si>
    <t>200071140</t>
  </si>
  <si>
    <t>CA Vichy Communauté</t>
  </si>
  <si>
    <t>200071363</t>
  </si>
  <si>
    <t>Ardèche</t>
  </si>
  <si>
    <t>07 - Ardèche</t>
  </si>
  <si>
    <t>CA Annonay Rhône Agglo</t>
  </si>
  <si>
    <t>200072015</t>
  </si>
  <si>
    <t>CA Arche Agglo</t>
  </si>
  <si>
    <t>200073096</t>
  </si>
  <si>
    <t>CA Privas Centre Ardèche</t>
  </si>
  <si>
    <t>200071413</t>
  </si>
  <si>
    <t>CC Ardèche Rhône Coiron</t>
  </si>
  <si>
    <t>200071405</t>
  </si>
  <si>
    <t>CC de Cèze Cévennes</t>
  </si>
  <si>
    <t>200035129</t>
  </si>
  <si>
    <t>CC du Bassin d'Aubenas</t>
  </si>
  <si>
    <t>200073245</t>
  </si>
  <si>
    <t>CC Porte de Dromardèche</t>
  </si>
  <si>
    <t>200040491</t>
  </si>
  <si>
    <t>CC Rhône Crussol</t>
  </si>
  <si>
    <t>200041366</t>
  </si>
  <si>
    <t>Cantal</t>
  </si>
  <si>
    <t>15 - Cantal</t>
  </si>
  <si>
    <t>CA du Bassin d'Aurillac</t>
  </si>
  <si>
    <t>241500230</t>
  </si>
  <si>
    <t>Drôme</t>
  </si>
  <si>
    <t>26 - Drôme</t>
  </si>
  <si>
    <t>CA Montélimar Agglomération</t>
  </si>
  <si>
    <t>200040459</t>
  </si>
  <si>
    <t>CA Valence Romans Agglo</t>
  </si>
  <si>
    <t>200068781</t>
  </si>
  <si>
    <t>CC du Val de Drôme en Biovallée</t>
  </si>
  <si>
    <t>242600252</t>
  </si>
  <si>
    <t>Isère</t>
  </si>
  <si>
    <t>38 - Isère</t>
  </si>
  <si>
    <t>CA du Pays Voironnais</t>
  </si>
  <si>
    <t>243800984</t>
  </si>
  <si>
    <t>CA Porte de l'Isère (CAPI)</t>
  </si>
  <si>
    <t>243800604</t>
  </si>
  <si>
    <t>CA Vienne Condrieu</t>
  </si>
  <si>
    <t>200077014</t>
  </si>
  <si>
    <t>CC Entre Bièvre et Rhône</t>
  </si>
  <si>
    <t>200085751</t>
  </si>
  <si>
    <t>Grenoble-Alpes-Métropole</t>
  </si>
  <si>
    <t>200040715</t>
  </si>
  <si>
    <t>Loire</t>
  </si>
  <si>
    <t>42 - Loire</t>
  </si>
  <si>
    <t>CA Roannais Agglomération</t>
  </si>
  <si>
    <t>200035731</t>
  </si>
  <si>
    <t>Loire Forez Agglomération (LFA)</t>
  </si>
  <si>
    <t>200065886</t>
  </si>
  <si>
    <t>Saint-Étienne Métropole</t>
  </si>
  <si>
    <t>244200770</t>
  </si>
  <si>
    <t>Haute-Loire</t>
  </si>
  <si>
    <t>43 - Haute-Loire</t>
  </si>
  <si>
    <t>CA du Puy-en-Velay</t>
  </si>
  <si>
    <t>200073419</t>
  </si>
  <si>
    <t>Puy-de-Dôme</t>
  </si>
  <si>
    <t>63 - Puy-de-Dôme</t>
  </si>
  <si>
    <t>CA Agglo Pays d'Issoire</t>
  </si>
  <si>
    <t>200070407</t>
  </si>
  <si>
    <t>CA Riom Limagne et Volcans</t>
  </si>
  <si>
    <t>200070753</t>
  </si>
  <si>
    <t>CC Thiers Dore et Montagne</t>
  </si>
  <si>
    <t>200070712</t>
  </si>
  <si>
    <t>Clermont Auvergne Métropole</t>
  </si>
  <si>
    <t>246300701</t>
  </si>
  <si>
    <t>Rhône</t>
  </si>
  <si>
    <t>69 - Rhône</t>
  </si>
  <si>
    <t>CA de l'Ouest Rhodanien</t>
  </si>
  <si>
    <t>200040566</t>
  </si>
  <si>
    <t>CC de la Vallée du Garon (CCVG)</t>
  </si>
  <si>
    <t>246900757</t>
  </si>
  <si>
    <t>CC de l'Est Lyonnais (CCEL)</t>
  </si>
  <si>
    <t>246900575</t>
  </si>
  <si>
    <t>CC Saône-Beaujolais</t>
  </si>
  <si>
    <t>200067817</t>
  </si>
  <si>
    <t>Métropole de Lyon</t>
  </si>
  <si>
    <t>200046977</t>
  </si>
  <si>
    <t>Savoie</t>
  </si>
  <si>
    <t>73 - Savoie</t>
  </si>
  <si>
    <t>CA Arlysère</t>
  </si>
  <si>
    <t>200068997</t>
  </si>
  <si>
    <t>CA du Grand Chambéry</t>
  </si>
  <si>
    <t>200069110</t>
  </si>
  <si>
    <t>CA Grand Lac</t>
  </si>
  <si>
    <t>200068674</t>
  </si>
  <si>
    <t>Haute-Savoie</t>
  </si>
  <si>
    <t>74 - Haute-Savoie</t>
  </si>
  <si>
    <t>CA Annemasse-Les Voirons-Agglomération</t>
  </si>
  <si>
    <t>200011773</t>
  </si>
  <si>
    <t>CA du Grand Annecy</t>
  </si>
  <si>
    <t>200066793</t>
  </si>
  <si>
    <t>CA Thonon Agglomération</t>
  </si>
  <si>
    <t>200067551</t>
  </si>
  <si>
    <t>CC Cluses-Arve et Montagnes</t>
  </si>
  <si>
    <t>200033116</t>
  </si>
  <si>
    <t>CC du Genevois</t>
  </si>
  <si>
    <t>247400690</t>
  </si>
  <si>
    <t>CC Faucigny - Glières</t>
  </si>
  <si>
    <t>200000172</t>
  </si>
  <si>
    <t>CC Pays du Mont-Blanc</t>
  </si>
  <si>
    <t>200034882</t>
  </si>
  <si>
    <t>CC Rumilly Terre de Savoie</t>
  </si>
  <si>
    <t>247400740</t>
  </si>
  <si>
    <t>Bourgogne-Franche-Comté</t>
  </si>
  <si>
    <t>Côte-d'Or</t>
  </si>
  <si>
    <t>21 - Côte-d'Or</t>
  </si>
  <si>
    <t>CA Beaune, Côte et Sud - Communauté Beaune-Chagny-Nolay</t>
  </si>
  <si>
    <t>200006682</t>
  </si>
  <si>
    <t>Dijon Métropole</t>
  </si>
  <si>
    <t>242100410</t>
  </si>
  <si>
    <t>Doubs</t>
  </si>
  <si>
    <t>25 - Doubs</t>
  </si>
  <si>
    <t>CA Pays de Montbéliard Agglomération</t>
  </si>
  <si>
    <t>200065647</t>
  </si>
  <si>
    <t>CC du Grand Pontarlier</t>
  </si>
  <si>
    <t>242500338</t>
  </si>
  <si>
    <t>CC du Pays d'Héricourt</t>
  </si>
  <si>
    <t>247000722</t>
  </si>
  <si>
    <t>CU Grand Besançon Métropole</t>
  </si>
  <si>
    <t>242500361</t>
  </si>
  <si>
    <t>Jura</t>
  </si>
  <si>
    <t>39 - Jura</t>
  </si>
  <si>
    <t>CA du Grand Dole</t>
  </si>
  <si>
    <t>200010650</t>
  </si>
  <si>
    <t>CA ECLA  (Espace Communautaire Lons Agglomération)</t>
  </si>
  <si>
    <t>200071116</t>
  </si>
  <si>
    <t>CC Haut-Jura Saint-Claude</t>
  </si>
  <si>
    <t>200026573</t>
  </si>
  <si>
    <t>Nièvre</t>
  </si>
  <si>
    <t>58 - Nièvre</t>
  </si>
  <si>
    <t>CA de Nevers</t>
  </si>
  <si>
    <t>245804406</t>
  </si>
  <si>
    <t>CC Coeur de Loire</t>
  </si>
  <si>
    <t>200067916</t>
  </si>
  <si>
    <t>Haute-Saône</t>
  </si>
  <si>
    <t>70 - Haute-Saône</t>
  </si>
  <si>
    <t>CA de Vesoul</t>
  </si>
  <si>
    <t>247000011</t>
  </si>
  <si>
    <t>CC du Pays de Lure</t>
  </si>
  <si>
    <t>247000664</t>
  </si>
  <si>
    <t>CC du Pays de Luxeuil</t>
  </si>
  <si>
    <t>247000755</t>
  </si>
  <si>
    <t>CC Val de Gray</t>
  </si>
  <si>
    <t>200036549</t>
  </si>
  <si>
    <t>Saône-et-Loire</t>
  </si>
  <si>
    <t>71 - Saône-et-Loire</t>
  </si>
  <si>
    <t>CA Le Grand Chalon</t>
  </si>
  <si>
    <t>247100589</t>
  </si>
  <si>
    <t>CC du Grand Autunois Morvan</t>
  </si>
  <si>
    <t>200070530</t>
  </si>
  <si>
    <t>CU Le Creusot Montceau-les-Mines</t>
  </si>
  <si>
    <t>247100290</t>
  </si>
  <si>
    <t>Yonne</t>
  </si>
  <si>
    <t>89 - Yonne</t>
  </si>
  <si>
    <t>CA de l'Auxerrois</t>
  </si>
  <si>
    <t>200067114</t>
  </si>
  <si>
    <t>CA du Grand Sénonais</t>
  </si>
  <si>
    <t>248900334</t>
  </si>
  <si>
    <t>CC de l'Agglomération Migennoise</t>
  </si>
  <si>
    <t>248900383</t>
  </si>
  <si>
    <t>CC du Jovinien</t>
  </si>
  <si>
    <t>248900938</t>
  </si>
  <si>
    <t>Territoire de Belfort</t>
  </si>
  <si>
    <t>90 - Territoire de Belfort</t>
  </si>
  <si>
    <t>CA Grand Belfort</t>
  </si>
  <si>
    <t>200069052</t>
  </si>
  <si>
    <t>Bretagne</t>
  </si>
  <si>
    <t>Côtes-d'Armor</t>
  </si>
  <si>
    <t>22 - Côtes-d'Armor</t>
  </si>
  <si>
    <t>CA Dinan Agglomération</t>
  </si>
  <si>
    <t>200068989</t>
  </si>
  <si>
    <t>CA Guingamp-Paimpol Agglomération de l'Armor à l'Argoat</t>
  </si>
  <si>
    <t>200067981</t>
  </si>
  <si>
    <t>CA Lamballe Terre et Mer</t>
  </si>
  <si>
    <t>200069391</t>
  </si>
  <si>
    <t>CA Lannion-Trégor Communauté</t>
  </si>
  <si>
    <t>200065928</t>
  </si>
  <si>
    <t>CA Saint-Brieuc Armor Agglomération</t>
  </si>
  <si>
    <t>200069409</t>
  </si>
  <si>
    <t>CC Pontivy Communauté</t>
  </si>
  <si>
    <t>245614433</t>
  </si>
  <si>
    <t>Finistère</t>
  </si>
  <si>
    <t>29 - Finistère</t>
  </si>
  <si>
    <t>Brest Métropole</t>
  </si>
  <si>
    <t>242900314</t>
  </si>
  <si>
    <t>CA Concarneau Cornouaille Agglomération</t>
  </si>
  <si>
    <t>242900769</t>
  </si>
  <si>
    <t>CA du Pays de Landerneau-Daoulas</t>
  </si>
  <si>
    <t>242900801</t>
  </si>
  <si>
    <t>CA Morlaix Communauté</t>
  </si>
  <si>
    <t>242900835</t>
  </si>
  <si>
    <t>CA Quimper Bretagne Occidentale</t>
  </si>
  <si>
    <t>200068120</t>
  </si>
  <si>
    <t>CA Quimperlé Communauté</t>
  </si>
  <si>
    <t>242900694</t>
  </si>
  <si>
    <t>Ille-et-Vilaine</t>
  </si>
  <si>
    <t>35 - Ille-et-Vilaine</t>
  </si>
  <si>
    <t>CA du Pays de Saint Malo Agglomération</t>
  </si>
  <si>
    <t>243500782</t>
  </si>
  <si>
    <t>CA Fougères Agglomération</t>
  </si>
  <si>
    <t>200072452</t>
  </si>
  <si>
    <t>CA Redon Agglomération</t>
  </si>
  <si>
    <t>243500741</t>
  </si>
  <si>
    <t>CA Vitré Communauté</t>
  </si>
  <si>
    <t>200039022</t>
  </si>
  <si>
    <t>Rennes Métropole</t>
  </si>
  <si>
    <t>243500139</t>
  </si>
  <si>
    <t>Morbihan</t>
  </si>
  <si>
    <t>56 - Morbihan</t>
  </si>
  <si>
    <t>CA de la Presqu'île de Guérande Atlantique (Cap Atlantique)</t>
  </si>
  <si>
    <t>244400610</t>
  </si>
  <si>
    <t>CA Golfe du Morbihan - Vannes Agglomération</t>
  </si>
  <si>
    <t>200067932</t>
  </si>
  <si>
    <t>CA Lorient Agglomération</t>
  </si>
  <si>
    <t>200042174</t>
  </si>
  <si>
    <t>CC Auray Quiberon Terre Atlantique</t>
  </si>
  <si>
    <t>200043123</t>
  </si>
  <si>
    <t>Ploërmel Communauté</t>
  </si>
  <si>
    <t>200066777</t>
  </si>
  <si>
    <t>Centre-Val de Loire</t>
  </si>
  <si>
    <t>Cher</t>
  </si>
  <si>
    <t>18 - Cher</t>
  </si>
  <si>
    <t>CA Bourges Plus</t>
  </si>
  <si>
    <t>241800507</t>
  </si>
  <si>
    <t>CC Coeur de France</t>
  </si>
  <si>
    <t>200036135</t>
  </si>
  <si>
    <t>CC Vierzon-Sologne-Berry</t>
  </si>
  <si>
    <t>200090561</t>
  </si>
  <si>
    <t>Eure-et-Loir</t>
  </si>
  <si>
    <t>28 - Eure-et-Loir</t>
  </si>
  <si>
    <t>CA Agglo du Pays de Dreux</t>
  </si>
  <si>
    <t>200040277</t>
  </si>
  <si>
    <t>CA Chartres Métropole</t>
  </si>
  <si>
    <t>200033181</t>
  </si>
  <si>
    <t>CC du Grand Châteaudun</t>
  </si>
  <si>
    <t>200069961</t>
  </si>
  <si>
    <t>CC du Perche</t>
  </si>
  <si>
    <t>200006971</t>
  </si>
  <si>
    <t>Indre</t>
  </si>
  <si>
    <t>36 - Indre</t>
  </si>
  <si>
    <t>CA Châteauroux Métropole</t>
  </si>
  <si>
    <t>243600327</t>
  </si>
  <si>
    <t>Indre-et-Loire</t>
  </si>
  <si>
    <t>37 - Indre-et-Loire</t>
  </si>
  <si>
    <t>CC du Val d'Amboise</t>
  </si>
  <si>
    <t>200043065</t>
  </si>
  <si>
    <t>CC Touraine-Est Vallées</t>
  </si>
  <si>
    <t>200073161</t>
  </si>
  <si>
    <t>Tours Métropole Val de Loire</t>
  </si>
  <si>
    <t>243700754</t>
  </si>
  <si>
    <t>Loir-et-Cher</t>
  </si>
  <si>
    <t>41 - Loir-et-Cher</t>
  </si>
  <si>
    <t>CA de Blois ''Agglopolys''</t>
  </si>
  <si>
    <t>200030385</t>
  </si>
  <si>
    <t>CA Territoires Vendômois</t>
  </si>
  <si>
    <t>200072072</t>
  </si>
  <si>
    <t>CC du Romorantinais et du Monestois</t>
  </si>
  <si>
    <t>200018406</t>
  </si>
  <si>
    <t>Loiret</t>
  </si>
  <si>
    <t>45 - Loiret</t>
  </si>
  <si>
    <t>CA Montargoise et Rives du Loing (AME)</t>
  </si>
  <si>
    <t>244500203</t>
  </si>
  <si>
    <t>CC du Pithiverais</t>
  </si>
  <si>
    <t>200066280</t>
  </si>
  <si>
    <t>CC du Val de Sully</t>
  </si>
  <si>
    <t>200070100</t>
  </si>
  <si>
    <t>CC Giennoises</t>
  </si>
  <si>
    <t>244500211</t>
  </si>
  <si>
    <t>Orléans Métropole</t>
  </si>
  <si>
    <t>244500468</t>
  </si>
  <si>
    <t>Corse</t>
  </si>
  <si>
    <t>Corse-du-Sud</t>
  </si>
  <si>
    <t>2A - Corse-du-Sud</t>
  </si>
  <si>
    <t>CA du Pays Ajaccien</t>
  </si>
  <si>
    <t>242010056</t>
  </si>
  <si>
    <t>CC du Sud Corse</t>
  </si>
  <si>
    <t>200040764</t>
  </si>
  <si>
    <t>Haute-Corse</t>
  </si>
  <si>
    <t>2B - Haute-Corse</t>
  </si>
  <si>
    <t>CA de Bastia</t>
  </si>
  <si>
    <t>242000354</t>
  </si>
  <si>
    <t>Grand Est</t>
  </si>
  <si>
    <t>Ardennes</t>
  </si>
  <si>
    <t>08 - Ardennes</t>
  </si>
  <si>
    <t>Ardenne Métropole</t>
  </si>
  <si>
    <t>200041630</t>
  </si>
  <si>
    <t>CC du Pays Rethélois</t>
  </si>
  <si>
    <t>200043156</t>
  </si>
  <si>
    <t>Aube</t>
  </si>
  <si>
    <t>10 - Aube</t>
  </si>
  <si>
    <t>CA Troyes Champagne Métropole</t>
  </si>
  <si>
    <t>200069250</t>
  </si>
  <si>
    <t>CC des Portes de Romilly sur Seine</t>
  </si>
  <si>
    <t>200000545</t>
  </si>
  <si>
    <t>Marne</t>
  </si>
  <si>
    <t>51 - Marne</t>
  </si>
  <si>
    <t>CA de Châlons-en-Champagne</t>
  </si>
  <si>
    <t>200066876</t>
  </si>
  <si>
    <t>CA du Grand Saint-Dizier Der et Vallées</t>
  </si>
  <si>
    <t>200068666</t>
  </si>
  <si>
    <t>CA Epernay, Coteaux et Plaine de Champagne</t>
  </si>
  <si>
    <t>200067684</t>
  </si>
  <si>
    <t>CC de Vitry, Champagne et Der</t>
  </si>
  <si>
    <t>200034718</t>
  </si>
  <si>
    <t>CU du Grand Reims</t>
  </si>
  <si>
    <t>200067213</t>
  </si>
  <si>
    <t>Haute-Marne</t>
  </si>
  <si>
    <t>52 - Haute-Marne</t>
  </si>
  <si>
    <t>CA de Chaumont</t>
  </si>
  <si>
    <t>200068658</t>
  </si>
  <si>
    <t>CC du Grand Langres</t>
  </si>
  <si>
    <t>200072999</t>
  </si>
  <si>
    <t>Meurthe-et-Moselle</t>
  </si>
  <si>
    <t>54 - Meurthe-et-Moselle</t>
  </si>
  <si>
    <t>CA de Saint-Dié-des-Vosges</t>
  </si>
  <si>
    <t>200071066</t>
  </si>
  <si>
    <t>CC du Bassin de Pompey</t>
  </si>
  <si>
    <t>245400601</t>
  </si>
  <si>
    <t>CC du Bassin de Pont-à-Mousson</t>
  </si>
  <si>
    <t>200041515</t>
  </si>
  <si>
    <t>CC du Territoire de Lunéville à Baccarat</t>
  </si>
  <si>
    <t>200070324</t>
  </si>
  <si>
    <t>CC Terres Touloises</t>
  </si>
  <si>
    <t>200070563</t>
  </si>
  <si>
    <t>Grand Longwy Agglomération</t>
  </si>
  <si>
    <t>245400262</t>
  </si>
  <si>
    <t>Métropole du Grand Nancy</t>
  </si>
  <si>
    <t>245400676</t>
  </si>
  <si>
    <t>Meuse</t>
  </si>
  <si>
    <t>55 - Meuse</t>
  </si>
  <si>
    <t>CA de Bar-le-Duc - Sud Meuse</t>
  </si>
  <si>
    <t>200033025</t>
  </si>
  <si>
    <t>CA du Grand Verdun</t>
  </si>
  <si>
    <t>200049187</t>
  </si>
  <si>
    <t>Moselle</t>
  </si>
  <si>
    <t>57 - Moselle</t>
  </si>
  <si>
    <t>CA de Forbach Porte de France</t>
  </si>
  <si>
    <t>245700372</t>
  </si>
  <si>
    <t>CA du Val de Fensch</t>
  </si>
  <si>
    <t>245701222</t>
  </si>
  <si>
    <t>CA Portes de France-Thionville</t>
  </si>
  <si>
    <t>245701362</t>
  </si>
  <si>
    <t>CA Saint-Avold Synergie</t>
  </si>
  <si>
    <t>200067502</t>
  </si>
  <si>
    <t>CA Sarreguemines Confluences</t>
  </si>
  <si>
    <t>200070746</t>
  </si>
  <si>
    <t>CC de Freyming-Merlebach</t>
  </si>
  <si>
    <t>245700398</t>
  </si>
  <si>
    <t>CC de l'Arc Mosellan</t>
  </si>
  <si>
    <t>245701354</t>
  </si>
  <si>
    <t>CC du Pays Orne Moselle</t>
  </si>
  <si>
    <t>245701271</t>
  </si>
  <si>
    <t>CC du Warndt</t>
  </si>
  <si>
    <t>245701164</t>
  </si>
  <si>
    <t>CC Rives de Moselle</t>
  </si>
  <si>
    <t>200039949</t>
  </si>
  <si>
    <t>CC Sarrebourg Moselle Sud</t>
  </si>
  <si>
    <t>200068146</t>
  </si>
  <si>
    <t>Metz Métropole</t>
  </si>
  <si>
    <t>200039865</t>
  </si>
  <si>
    <t>Bas-Rhin</t>
  </si>
  <si>
    <t>67 - Bas-Rhin</t>
  </si>
  <si>
    <t>CA de Haguenau</t>
  </si>
  <si>
    <t>200067874</t>
  </si>
  <si>
    <t>CC de Sélestat</t>
  </si>
  <si>
    <t>246700967</t>
  </si>
  <si>
    <t>CC du Canton d'Erstein</t>
  </si>
  <si>
    <t>200067924</t>
  </si>
  <si>
    <t>CC du Pays de Saverne</t>
  </si>
  <si>
    <t>200068112</t>
  </si>
  <si>
    <t>Eurométropole de Strasbourg</t>
  </si>
  <si>
    <t>246700488</t>
  </si>
  <si>
    <t>Haut-Rhin</t>
  </si>
  <si>
    <t>68 - Haut-Rhin</t>
  </si>
  <si>
    <t>CA Colmar Agglomération</t>
  </si>
  <si>
    <t>246800726</t>
  </si>
  <si>
    <t>CA Mulhouse Alsace Agglomération</t>
  </si>
  <si>
    <t>200066009</t>
  </si>
  <si>
    <t>CA Saint-Louis Agglomération</t>
  </si>
  <si>
    <t>200066058</t>
  </si>
  <si>
    <t>CC de la Région de Guebwiller</t>
  </si>
  <si>
    <t>246800569</t>
  </si>
  <si>
    <t>CC de Thann-Cernay</t>
  </si>
  <si>
    <t>200036465</t>
  </si>
  <si>
    <t>Vosges</t>
  </si>
  <si>
    <t>88 - Vosges</t>
  </si>
  <si>
    <t>CA d'Epinal</t>
  </si>
  <si>
    <t>200068757</t>
  </si>
  <si>
    <t>CC de la Porte des Vosges Méridionales</t>
  </si>
  <si>
    <t>200068377</t>
  </si>
  <si>
    <t>Guadeloupe</t>
  </si>
  <si>
    <t>-Guadeloupe</t>
  </si>
  <si>
    <t>97 - -Guadeloupe</t>
  </si>
  <si>
    <t>CA CAP Excellence</t>
  </si>
  <si>
    <t>200018653</t>
  </si>
  <si>
    <t>CA du Nord Basse-Terre</t>
  </si>
  <si>
    <t>249710062</t>
  </si>
  <si>
    <t>CA du Nord Grande Terre</t>
  </si>
  <si>
    <t>200044691</t>
  </si>
  <si>
    <t>CA Grand Sud Caraïbe</t>
  </si>
  <si>
    <t>249710070</t>
  </si>
  <si>
    <t>CA La Riviéra du Levant</t>
  </si>
  <si>
    <t>200041507</t>
  </si>
  <si>
    <t>Guyane</t>
  </si>
  <si>
    <t>-Guyane</t>
  </si>
  <si>
    <t>97 - -Guyane</t>
  </si>
  <si>
    <t>CA du Centre Littoral</t>
  </si>
  <si>
    <t>249730045</t>
  </si>
  <si>
    <t>CC de l'Ouest Guyanais</t>
  </si>
  <si>
    <t>249730037</t>
  </si>
  <si>
    <t>CC des Savanes</t>
  </si>
  <si>
    <t>200027548</t>
  </si>
  <si>
    <t>Hauts-de-France</t>
  </si>
  <si>
    <t>Aisne</t>
  </si>
  <si>
    <t>02 - Aisne</t>
  </si>
  <si>
    <t>CA Chauny Tergnier La Fère</t>
  </si>
  <si>
    <t>200071785</t>
  </si>
  <si>
    <t>CA de la Région de Château-Thierry</t>
  </si>
  <si>
    <t>200072031</t>
  </si>
  <si>
    <t>CA du Pays de Laon</t>
  </si>
  <si>
    <t>200043495</t>
  </si>
  <si>
    <t>CA du Saint-Quentinois</t>
  </si>
  <si>
    <t>200071892</t>
  </si>
  <si>
    <t>CC des Trois Rivières</t>
  </si>
  <si>
    <t>240200600</t>
  </si>
  <si>
    <t>CC Retz en Valois</t>
  </si>
  <si>
    <t>200071991</t>
  </si>
  <si>
    <t>GrandSoissons Agglomération</t>
  </si>
  <si>
    <t>240200477</t>
  </si>
  <si>
    <t>Nord</t>
  </si>
  <si>
    <t>59 - Nord</t>
  </si>
  <si>
    <t>CA Coeur de Flandre</t>
  </si>
  <si>
    <t>200040947</t>
  </si>
  <si>
    <t>CA Coeur d'Ostrevent</t>
  </si>
  <si>
    <t>245901152</t>
  </si>
  <si>
    <t>CA de Cambrai</t>
  </si>
  <si>
    <t>200068500</t>
  </si>
  <si>
    <t>CA de la Porte du Hainaut</t>
  </si>
  <si>
    <t>200042190</t>
  </si>
  <si>
    <t>CA Douaisis Agglo</t>
  </si>
  <si>
    <t>200044618</t>
  </si>
  <si>
    <t>CA du Caudrésis et du Catésis</t>
  </si>
  <si>
    <t>200030633</t>
  </si>
  <si>
    <t>CA Maubeuge Val de Sambre</t>
  </si>
  <si>
    <t>200043396</t>
  </si>
  <si>
    <t>CA Valenciennes Métropole</t>
  </si>
  <si>
    <t>245901160</t>
  </si>
  <si>
    <t>CC du Pays de Mormal</t>
  </si>
  <si>
    <t>200043321</t>
  </si>
  <si>
    <t>CC du Sud Avesnois</t>
  </si>
  <si>
    <t>200043404</t>
  </si>
  <si>
    <t>CC Pévèle-Carembault</t>
  </si>
  <si>
    <t>200041960</t>
  </si>
  <si>
    <t>CU de Dunkerque</t>
  </si>
  <si>
    <t>245900428</t>
  </si>
  <si>
    <t>Métropole Européenne de Lille</t>
  </si>
  <si>
    <t>200093201</t>
  </si>
  <si>
    <t>Oise</t>
  </si>
  <si>
    <t>60 - Oise</t>
  </si>
  <si>
    <t>CA Creil Sud Oise</t>
  </si>
  <si>
    <t>200068047</t>
  </si>
  <si>
    <t>CA de la Région de Compiègne et de la Basse Automne</t>
  </si>
  <si>
    <t>200067965</t>
  </si>
  <si>
    <t>CA du Beauvaisis</t>
  </si>
  <si>
    <t>200067999</t>
  </si>
  <si>
    <t>CC de l'Aire Cantilienne</t>
  </si>
  <si>
    <t>246000764</t>
  </si>
  <si>
    <t>CC des Pays d'Oise et d'Halatte</t>
  </si>
  <si>
    <t>246000921</t>
  </si>
  <si>
    <t>CC des Sablons</t>
  </si>
  <si>
    <t>246000582</t>
  </si>
  <si>
    <t>CC du Clermontois</t>
  </si>
  <si>
    <t>246000376</t>
  </si>
  <si>
    <t>CC du Pays de Valois</t>
  </si>
  <si>
    <t>246000871</t>
  </si>
  <si>
    <t>CC du Pays Noyonnais</t>
  </si>
  <si>
    <t>246000756</t>
  </si>
  <si>
    <t>CC Thelloise</t>
  </si>
  <si>
    <t>200067973</t>
  </si>
  <si>
    <t>Pas-de-Calais</t>
  </si>
  <si>
    <t>62 - Pas-de-Calais</t>
  </si>
  <si>
    <t>CA de Béthune-Bruay, Artois-Lys Romane</t>
  </si>
  <si>
    <t>200072460</t>
  </si>
  <si>
    <t>CA de Lens - Liévin</t>
  </si>
  <si>
    <t>246200364</t>
  </si>
  <si>
    <t>CA des Deux Baies en Montreuillois</t>
  </si>
  <si>
    <t>200069029</t>
  </si>
  <si>
    <t>CA d'Hénin-Carvin</t>
  </si>
  <si>
    <t>246200299</t>
  </si>
  <si>
    <t>CA du Boulonnais</t>
  </si>
  <si>
    <t>246200729</t>
  </si>
  <si>
    <t>CA du Pays de Saint-Omer</t>
  </si>
  <si>
    <t>200069037</t>
  </si>
  <si>
    <t>CA Grand Calais Terres et Mers</t>
  </si>
  <si>
    <t>200090751</t>
  </si>
  <si>
    <t>CU d'Arras</t>
  </si>
  <si>
    <t>200033579</t>
  </si>
  <si>
    <t>Somme</t>
  </si>
  <si>
    <t>80 - Somme</t>
  </si>
  <si>
    <t>CA Amiens Métropole</t>
  </si>
  <si>
    <t>248000531</t>
  </si>
  <si>
    <t>CA de la Baie de Somme</t>
  </si>
  <si>
    <t>200070993</t>
  </si>
  <si>
    <t>Île-de-France</t>
  </si>
  <si>
    <t>Paris</t>
  </si>
  <si>
    <t>75 - Paris</t>
  </si>
  <si>
    <t>217500016</t>
  </si>
  <si>
    <t>Seine-et-Marne</t>
  </si>
  <si>
    <t>77 - Seine-et-Marne</t>
  </si>
  <si>
    <t>CA Coulommiers Pays de Brie</t>
  </si>
  <si>
    <t>200090504</t>
  </si>
  <si>
    <t>CA du Pays de Fontainebleau</t>
  </si>
  <si>
    <t>200072346</t>
  </si>
  <si>
    <t>CA du Pays de Meaux</t>
  </si>
  <si>
    <t>200072130</t>
  </si>
  <si>
    <t>CA Grand Paris Sud Seine Essonne Sénart</t>
  </si>
  <si>
    <t>200059228</t>
  </si>
  <si>
    <t>CA Marne et Gondoire</t>
  </si>
  <si>
    <t>247700594</t>
  </si>
  <si>
    <t>CA Melun Val de Seine</t>
  </si>
  <si>
    <t>247700057</t>
  </si>
  <si>
    <t>CA Paris - Vallée de la Marne</t>
  </si>
  <si>
    <t>200057958</t>
  </si>
  <si>
    <t>CA Roissy Pays de France</t>
  </si>
  <si>
    <t>200055655</t>
  </si>
  <si>
    <t>CA Val d'Europe Agglomération</t>
  </si>
  <si>
    <t>247700339</t>
  </si>
  <si>
    <t>CC du Provinois</t>
  </si>
  <si>
    <t>200037133</t>
  </si>
  <si>
    <t>CC Moret Seine et Loing</t>
  </si>
  <si>
    <t>247700032</t>
  </si>
  <si>
    <t>CC Pays de Montereau</t>
  </si>
  <si>
    <t>247700107</t>
  </si>
  <si>
    <t>CC Pays de Nemours</t>
  </si>
  <si>
    <t>200023240</t>
  </si>
  <si>
    <t>Yvelines</t>
  </si>
  <si>
    <t>78 - Yvelines</t>
  </si>
  <si>
    <t>CA de Cergy-Pontoise</t>
  </si>
  <si>
    <t>249500109</t>
  </si>
  <si>
    <t>CA de Saint Quentin en Yvelines</t>
  </si>
  <si>
    <t>200058782</t>
  </si>
  <si>
    <t>CA Rambouillet Territoires</t>
  </si>
  <si>
    <t>200073344</t>
  </si>
  <si>
    <t>CA Saint Germain Boucles de Seine</t>
  </si>
  <si>
    <t>200058519</t>
  </si>
  <si>
    <t>CA Versailles Grand Parc (CAVGP)</t>
  </si>
  <si>
    <t>247800584</t>
  </si>
  <si>
    <t>CU Grand Paris Seine et Oise</t>
  </si>
  <si>
    <t>200059889</t>
  </si>
  <si>
    <t>Essonne</t>
  </si>
  <si>
    <t>91 - Essonne</t>
  </si>
  <si>
    <t>CA Coeur d'Essonne Agglomération</t>
  </si>
  <si>
    <t>200057859</t>
  </si>
  <si>
    <t>CA Communauté Paris-Saclay</t>
  </si>
  <si>
    <t>200056232</t>
  </si>
  <si>
    <t>CA Étampois Sud Essonne</t>
  </si>
  <si>
    <t>200017846</t>
  </si>
  <si>
    <t>CA Val d'Yerres Val de Seine</t>
  </si>
  <si>
    <t>200058477</t>
  </si>
  <si>
    <t>Grand-Orly Seine Bièvre</t>
  </si>
  <si>
    <t>200058014</t>
  </si>
  <si>
    <t>Hauts-de-Seine</t>
  </si>
  <si>
    <t>92 - Hauts-de-Seine</t>
  </si>
  <si>
    <t>Boucle Nord de Seine</t>
  </si>
  <si>
    <t>200057990</t>
  </si>
  <si>
    <t>Grand Paris Seine Ouest</t>
  </si>
  <si>
    <t>200057974</t>
  </si>
  <si>
    <t>Paris Ouest La Défense</t>
  </si>
  <si>
    <t>200057982</t>
  </si>
  <si>
    <t>Vallée Sud-Grand Paris</t>
  </si>
  <si>
    <t>200057966</t>
  </si>
  <si>
    <t>Seine-Saint-Denis</t>
  </si>
  <si>
    <t>93 - Seine-Saint-Denis</t>
  </si>
  <si>
    <t>Est Ensemble</t>
  </si>
  <si>
    <t>200057875</t>
  </si>
  <si>
    <t>Grand Paris Grand Est</t>
  </si>
  <si>
    <t>200058790</t>
  </si>
  <si>
    <t>Paris Terres d'Envol</t>
  </si>
  <si>
    <t>200058097</t>
  </si>
  <si>
    <t>Plaine Commune</t>
  </si>
  <si>
    <t>200057867</t>
  </si>
  <si>
    <t>Val-de-Marne</t>
  </si>
  <si>
    <t>94 - Val-de-Marne</t>
  </si>
  <si>
    <t>Grand Paris Sud Est Avenir</t>
  </si>
  <si>
    <t>200058006</t>
  </si>
  <si>
    <t>Paris Est Marne et Bois</t>
  </si>
  <si>
    <t>200057941</t>
  </si>
  <si>
    <t>Val-d'Oise</t>
  </si>
  <si>
    <t>95 - Val-d'Oise</t>
  </si>
  <si>
    <t>CA Plaine Vallée</t>
  </si>
  <si>
    <t>200056380</t>
  </si>
  <si>
    <t>CA Val Parisis</t>
  </si>
  <si>
    <t>200058485</t>
  </si>
  <si>
    <t>CC de la Vallée de l'Oise et des Trois Forêts</t>
  </si>
  <si>
    <t>249500455</t>
  </si>
  <si>
    <t>CC du Haut Val d'Oise</t>
  </si>
  <si>
    <t>249500489</t>
  </si>
  <si>
    <t>La Réunion</t>
  </si>
  <si>
    <t>-La Réunion</t>
  </si>
  <si>
    <t>97 - -La Réunion</t>
  </si>
  <si>
    <t>CA CIVIS (Communauté Intercommunale des Villes Solidaires)</t>
  </si>
  <si>
    <t>249740077</t>
  </si>
  <si>
    <t>CA du Sud</t>
  </si>
  <si>
    <t>249740085</t>
  </si>
  <si>
    <t>CA Intercommunale de la Réunion Est (CIREST)</t>
  </si>
  <si>
    <t>249740093</t>
  </si>
  <si>
    <t>CA Intercommunale du Nord de la Réunion (CINOR)</t>
  </si>
  <si>
    <t>249740119</t>
  </si>
  <si>
    <t>CA Territoire de la Côte Ouest (TCO)</t>
  </si>
  <si>
    <t>249740101</t>
  </si>
  <si>
    <t>Martinique</t>
  </si>
  <si>
    <t>-Martinique</t>
  </si>
  <si>
    <t>97 - -Martinique</t>
  </si>
  <si>
    <t>CA de l'Espace Sud de la Martinique</t>
  </si>
  <si>
    <t>249720053</t>
  </si>
  <si>
    <t>CA du Centre de la Martinique</t>
  </si>
  <si>
    <t>249720061</t>
  </si>
  <si>
    <t>CA du Pays Nord Martinique</t>
  </si>
  <si>
    <t>200041788</t>
  </si>
  <si>
    <t>Mayotte</t>
  </si>
  <si>
    <t>-Mayotte</t>
  </si>
  <si>
    <t>97 - -Mayotte</t>
  </si>
  <si>
    <t>CA de Dembeni / Mamoudzou</t>
  </si>
  <si>
    <t>200060457</t>
  </si>
  <si>
    <t>CA du Grand Nord de Mayotte</t>
  </si>
  <si>
    <t>200060465</t>
  </si>
  <si>
    <t>CC de Petite-Terre</t>
  </si>
  <si>
    <t>200050532</t>
  </si>
  <si>
    <t>CC du Centre-Ouest</t>
  </si>
  <si>
    <t>200059871</t>
  </si>
  <si>
    <t>CC du Sud</t>
  </si>
  <si>
    <t>200060473</t>
  </si>
  <si>
    <t>Normandie</t>
  </si>
  <si>
    <t>Calvados</t>
  </si>
  <si>
    <t>14 - Calvados</t>
  </si>
  <si>
    <t>CA Lisieux Normandie</t>
  </si>
  <si>
    <t>200069532</t>
  </si>
  <si>
    <t>CC de Bayeux Intercom</t>
  </si>
  <si>
    <t>241400555</t>
  </si>
  <si>
    <t>CC du Pays de Honfleur-Beuzeville</t>
  </si>
  <si>
    <t>200066827</t>
  </si>
  <si>
    <t>CC Intercom de la Vire au Noireau</t>
  </si>
  <si>
    <t>200068799</t>
  </si>
  <si>
    <t>CU Caen la Mer</t>
  </si>
  <si>
    <t>200065597</t>
  </si>
  <si>
    <t>Eure</t>
  </si>
  <si>
    <t>27 - Eure</t>
  </si>
  <si>
    <t>CA Evreux Portes de Normandie</t>
  </si>
  <si>
    <t>200071454</t>
  </si>
  <si>
    <t>CA Seine-Eure</t>
  </si>
  <si>
    <t>200089456</t>
  </si>
  <si>
    <t>CA Seine Normandie Agglomération</t>
  </si>
  <si>
    <t>200072312</t>
  </si>
  <si>
    <t>CC de Pont-Audemer / Val de Risle</t>
  </si>
  <si>
    <t>200065787</t>
  </si>
  <si>
    <t>CC du Vexin Normand</t>
  </si>
  <si>
    <t>200071843</t>
  </si>
  <si>
    <t>CC Intercom Bernay Terres de Normandie</t>
  </si>
  <si>
    <t>200066413</t>
  </si>
  <si>
    <t>Manche</t>
  </si>
  <si>
    <t>50 - Manche</t>
  </si>
  <si>
    <t>CA du Cotentin</t>
  </si>
  <si>
    <t>200067205</t>
  </si>
  <si>
    <t>CA Mont-Saint-Michel-Normandie</t>
  </si>
  <si>
    <t>200069425</t>
  </si>
  <si>
    <t>CA Saint-Lô Agglo</t>
  </si>
  <si>
    <t>200066389</t>
  </si>
  <si>
    <t>CC Coutances Mer et Bocage</t>
  </si>
  <si>
    <t>200067023</t>
  </si>
  <si>
    <t>CC de Granville, Terre et Mer</t>
  </si>
  <si>
    <t>200042604</t>
  </si>
  <si>
    <t>Orne</t>
  </si>
  <si>
    <t>61 - Orne</t>
  </si>
  <si>
    <t>CA Flers Agglo</t>
  </si>
  <si>
    <t>200035814</t>
  </si>
  <si>
    <t>CC des Pays de L'Aigle</t>
  </si>
  <si>
    <t>200068468</t>
  </si>
  <si>
    <t>CU d'Alençon</t>
  </si>
  <si>
    <t>246100663</t>
  </si>
  <si>
    <t>Terres d'Argentan Interco</t>
  </si>
  <si>
    <t>200068450</t>
  </si>
  <si>
    <t>Seine-Maritime</t>
  </si>
  <si>
    <t>76 - Seine-Maritime</t>
  </si>
  <si>
    <t>CA Caux Seine Agglo</t>
  </si>
  <si>
    <t>200010700</t>
  </si>
  <si>
    <t>CA de la Région Dieppoise</t>
  </si>
  <si>
    <t>247600786</t>
  </si>
  <si>
    <t>CA Fécamp Caux Littoral Agglomération</t>
  </si>
  <si>
    <t>200069821</t>
  </si>
  <si>
    <t>CC Caux - Austreberthe</t>
  </si>
  <si>
    <t>247600646</t>
  </si>
  <si>
    <t>Le Havre Seine Métropole</t>
  </si>
  <si>
    <t>200084952</t>
  </si>
  <si>
    <t>Métropole Rouen Normandie</t>
  </si>
  <si>
    <t>200023414</t>
  </si>
  <si>
    <t>Nouvelle-Aquitaine</t>
  </si>
  <si>
    <t>Charente</t>
  </si>
  <si>
    <t>16 - Charente</t>
  </si>
  <si>
    <t>CA du Grand Angoulême</t>
  </si>
  <si>
    <t>200071827</t>
  </si>
  <si>
    <t>CA du Grand Cognac</t>
  </si>
  <si>
    <t>200070514</t>
  </si>
  <si>
    <t>Charente-Maritime</t>
  </si>
  <si>
    <t>17 - Charente-Maritime</t>
  </si>
  <si>
    <t>CA de La Rochelle</t>
  </si>
  <si>
    <t>241700434</t>
  </si>
  <si>
    <t>CA Rochefort Océan</t>
  </si>
  <si>
    <t>200041762</t>
  </si>
  <si>
    <t>CA Royan Atlantique</t>
  </si>
  <si>
    <t>241700640</t>
  </si>
  <si>
    <t>CA ""Saintes - Grandes Rives - L'Agglo""</t>
  </si>
  <si>
    <t>200036473</t>
  </si>
  <si>
    <t>Corrèze</t>
  </si>
  <si>
    <t>19 - Corrèze</t>
  </si>
  <si>
    <t>CA du Bassin de Brive</t>
  </si>
  <si>
    <t>200043172</t>
  </si>
  <si>
    <t>CA Tulle Agglo</t>
  </si>
  <si>
    <t>241927201</t>
  </si>
  <si>
    <t>Creuse</t>
  </si>
  <si>
    <t>23 - Creuse</t>
  </si>
  <si>
    <t>CA du Grand Guéret</t>
  </si>
  <si>
    <t>200034825</t>
  </si>
  <si>
    <t>Dordogne</t>
  </si>
  <si>
    <t>24 - Dordogne</t>
  </si>
  <si>
    <t>CA Bergeracoise</t>
  </si>
  <si>
    <t>200070647</t>
  </si>
  <si>
    <t>CA Le Grand Périgueux</t>
  </si>
  <si>
    <t>200040392</t>
  </si>
  <si>
    <t>CC du Pays Foyen</t>
  </si>
  <si>
    <t>243301371</t>
  </si>
  <si>
    <t>Gironde</t>
  </si>
  <si>
    <t>33 - Gironde</t>
  </si>
  <si>
    <t>Bordeaux Métropole</t>
  </si>
  <si>
    <t>243300316</t>
  </si>
  <si>
    <t>CA Bassin d'Arcachon Sud (COBAS)</t>
  </si>
  <si>
    <t>243300563</t>
  </si>
  <si>
    <t>CA du Bassin d'Arcachon Nord (COBAN)</t>
  </si>
  <si>
    <t>243301504</t>
  </si>
  <si>
    <t>CA du Libournais</t>
  </si>
  <si>
    <t>200070092</t>
  </si>
  <si>
    <t>CC de Montesquieu</t>
  </si>
  <si>
    <t>243301264</t>
  </si>
  <si>
    <t>CC du Grand Cubzaguais</t>
  </si>
  <si>
    <t>243301223</t>
  </si>
  <si>
    <t>CC Jalle-Eau-Bourde</t>
  </si>
  <si>
    <t>243301165</t>
  </si>
  <si>
    <t>Landes</t>
  </si>
  <si>
    <t>40 - Landes</t>
  </si>
  <si>
    <t>CA du Grand Dax</t>
  </si>
  <si>
    <t>244000675</t>
  </si>
  <si>
    <t>CA Mont de Marsan Agglomération</t>
  </si>
  <si>
    <t>244000808</t>
  </si>
  <si>
    <t>CC des Grands Lacs</t>
  </si>
  <si>
    <t>244000873</t>
  </si>
  <si>
    <t>Lot-et-Garonne</t>
  </si>
  <si>
    <t>47 - Lot-et-Garonne</t>
  </si>
  <si>
    <t>CA Agglomération d'Agen</t>
  </si>
  <si>
    <t>200096956</t>
  </si>
  <si>
    <t>CA du Grand Villeneuvois</t>
  </si>
  <si>
    <t>200023307</t>
  </si>
  <si>
    <t>CA Val de Garonne Agglomération</t>
  </si>
  <si>
    <t>200030674</t>
  </si>
  <si>
    <t>Pyrénées-Atlantiques</t>
  </si>
  <si>
    <t>64 - Pyrénées-Atlantiques</t>
  </si>
  <si>
    <t>CA du Pays Basque</t>
  </si>
  <si>
    <t>200067106</t>
  </si>
  <si>
    <t>CA Pau Béarn Pyrénées</t>
  </si>
  <si>
    <t>200067254</t>
  </si>
  <si>
    <t>CC de Lacq-Orthez</t>
  </si>
  <si>
    <t>200039204</t>
  </si>
  <si>
    <t>CC du Haut Béarn</t>
  </si>
  <si>
    <t>200067262</t>
  </si>
  <si>
    <t>Deux-Sèvres</t>
  </si>
  <si>
    <t>79 - Deux-Sèvres</t>
  </si>
  <si>
    <t>CA du Bocage Bressuirais</t>
  </si>
  <si>
    <t>200040244</t>
  </si>
  <si>
    <t>CA du Niortais</t>
  </si>
  <si>
    <t>200041317</t>
  </si>
  <si>
    <t>CC de Parthenay-Gâtine</t>
  </si>
  <si>
    <t>200041333</t>
  </si>
  <si>
    <t>CC du Thouarsais</t>
  </si>
  <si>
    <t>247900798</t>
  </si>
  <si>
    <t>Vienne</t>
  </si>
  <si>
    <t>86 - Vienne</t>
  </si>
  <si>
    <t>CA Grand Châtellerault</t>
  </si>
  <si>
    <t>248600413</t>
  </si>
  <si>
    <t>CU du Grand Poitiers</t>
  </si>
  <si>
    <t>200069854</t>
  </si>
  <si>
    <t>Haute-Vienne</t>
  </si>
  <si>
    <t>87 - Haute-Vienne</t>
  </si>
  <si>
    <t>CU Limoges Métropole</t>
  </si>
  <si>
    <t>248719312</t>
  </si>
  <si>
    <t>Occitanie</t>
  </si>
  <si>
    <t>Ariège</t>
  </si>
  <si>
    <t>09 - Ariège</t>
  </si>
  <si>
    <t>CA L'Agglo Foix-Varilhes</t>
  </si>
  <si>
    <t>200067791</t>
  </si>
  <si>
    <t>CC Couserans-Pyrénées</t>
  </si>
  <si>
    <t>200067940</t>
  </si>
  <si>
    <t>CC des Portes d'Ariège Pyrénées</t>
  </si>
  <si>
    <t>200066231</t>
  </si>
  <si>
    <t>Aude</t>
  </si>
  <si>
    <t>11 - Aude</t>
  </si>
  <si>
    <t>CA Carcassonne Agglo</t>
  </si>
  <si>
    <t>200035715</t>
  </si>
  <si>
    <t>CA Le Grand Narbonne</t>
  </si>
  <si>
    <t>241100593</t>
  </si>
  <si>
    <t>CC du Limouxin</t>
  </si>
  <si>
    <t>200071926</t>
  </si>
  <si>
    <t>CC Région Lézignanaise, Corbières et Minervois</t>
  </si>
  <si>
    <t>200035863</t>
  </si>
  <si>
    <t>Aveyron</t>
  </si>
  <si>
    <t>12 - Aveyron</t>
  </si>
  <si>
    <t>CA Rodez Agglomération</t>
  </si>
  <si>
    <t>241200187</t>
  </si>
  <si>
    <t>CC de Millau Grands Causses</t>
  </si>
  <si>
    <t>241200567</t>
  </si>
  <si>
    <t>CC Grand-Figeac</t>
  </si>
  <si>
    <t>200067361</t>
  </si>
  <si>
    <t>Ouest Aveyron Communauté</t>
  </si>
  <si>
    <t>200069383</t>
  </si>
  <si>
    <t>Gard</t>
  </si>
  <si>
    <t>30 - Gard</t>
  </si>
  <si>
    <t>CA Alès Agglomération</t>
  </si>
  <si>
    <t>200066918</t>
  </si>
  <si>
    <t>CA de Nîmes Métropole</t>
  </si>
  <si>
    <t>243000643</t>
  </si>
  <si>
    <t>CA du Gard Rhodanien</t>
  </si>
  <si>
    <t>200034692</t>
  </si>
  <si>
    <t>CA du Grand Avignon (COGA)</t>
  </si>
  <si>
    <t>248400251</t>
  </si>
  <si>
    <t>CC Beaucaire Terre d'Argence</t>
  </si>
  <si>
    <t>243000585</t>
  </si>
  <si>
    <t>CC de Petite Camargue</t>
  </si>
  <si>
    <t>243000593</t>
  </si>
  <si>
    <t>CC Pays d'Uzès</t>
  </si>
  <si>
    <t>200034379</t>
  </si>
  <si>
    <t>Haute-Garonne</t>
  </si>
  <si>
    <t>31 - Haute-Garonne</t>
  </si>
  <si>
    <t>CA du Sicoval</t>
  </si>
  <si>
    <t>243100633</t>
  </si>
  <si>
    <t>CA Le Muretain Agglo</t>
  </si>
  <si>
    <t>200068641</t>
  </si>
  <si>
    <t>CC Coeur et Coteaux du Comminges</t>
  </si>
  <si>
    <t>200072643</t>
  </si>
  <si>
    <t>CC du Bassin Auterivain Haut-Garonnais</t>
  </si>
  <si>
    <t>200068807</t>
  </si>
  <si>
    <t>CC Tarn-Agout</t>
  </si>
  <si>
    <t>200034023</t>
  </si>
  <si>
    <t>Le Grand Ouest Toulousain</t>
  </si>
  <si>
    <t>243100781</t>
  </si>
  <si>
    <t>Toulouse Métropole</t>
  </si>
  <si>
    <t>243100518</t>
  </si>
  <si>
    <t>Gers</t>
  </si>
  <si>
    <t>32 - Gers</t>
  </si>
  <si>
    <t>CA Grand Auch Coeur de Gascogne</t>
  </si>
  <si>
    <t>200066926</t>
  </si>
  <si>
    <t>Hérault</t>
  </si>
  <si>
    <t>34 - Hérault</t>
  </si>
  <si>
    <t>CA de Béziers-Méditerranée</t>
  </si>
  <si>
    <t>243400769</t>
  </si>
  <si>
    <t>CA du Pays de l'Or</t>
  </si>
  <si>
    <t>243400470</t>
  </si>
  <si>
    <t>CA Hérault-Méditerranée</t>
  </si>
  <si>
    <t>243400819</t>
  </si>
  <si>
    <t>CA Lunel Agglo</t>
  </si>
  <si>
    <t>243400520</t>
  </si>
  <si>
    <t>CA Sète Agglopôle Méditerranée</t>
  </si>
  <si>
    <t>200066355</t>
  </si>
  <si>
    <t>CC du Clermontais</t>
  </si>
  <si>
    <t>243400355</t>
  </si>
  <si>
    <t>CC du Grand Pic Saint-Loup</t>
  </si>
  <si>
    <t>200022986</t>
  </si>
  <si>
    <t>CC Grand Orb Communauté de Communes en Languedoc</t>
  </si>
  <si>
    <t>200042646</t>
  </si>
  <si>
    <t>CC Lodévois et Larzac</t>
  </si>
  <si>
    <t>200017341</t>
  </si>
  <si>
    <t>Montpellier Méditerranée Métropole</t>
  </si>
  <si>
    <t>243400017</t>
  </si>
  <si>
    <t>Lot</t>
  </si>
  <si>
    <t>46 - Lot</t>
  </si>
  <si>
    <t>CA du Grand Cahors</t>
  </si>
  <si>
    <t>200023737</t>
  </si>
  <si>
    <t>Lozère</t>
  </si>
  <si>
    <t>48 - Lozère</t>
  </si>
  <si>
    <t>CC Coeur de Lozère</t>
  </si>
  <si>
    <t>244800405</t>
  </si>
  <si>
    <t>Hautes-Pyrénées</t>
  </si>
  <si>
    <t>65 - Hautes-Pyrénées</t>
  </si>
  <si>
    <t>CA Tarbes-Lourdes-Pyrénées</t>
  </si>
  <si>
    <t>200069300</t>
  </si>
  <si>
    <t>Pyrénées Orientales</t>
  </si>
  <si>
    <t>66 - Pyrénées Orientales</t>
  </si>
  <si>
    <t>CC des Albères, de la Côte Vermeille et de l'Illibéris</t>
  </si>
  <si>
    <t>200043602</t>
  </si>
  <si>
    <t>CU Perpignan Méditerranée Métropole</t>
  </si>
  <si>
    <t>200027183</t>
  </si>
  <si>
    <t>Tarn</t>
  </si>
  <si>
    <t>81 - Tarn</t>
  </si>
  <si>
    <t>CA de Castres Mazamet</t>
  </si>
  <si>
    <t>248100430</t>
  </si>
  <si>
    <t>CA de l'Albigeois (C2A)</t>
  </si>
  <si>
    <t>248100737</t>
  </si>
  <si>
    <t>CA Gaillac-Graulhet</t>
  </si>
  <si>
    <t>200066124</t>
  </si>
  <si>
    <t>CC Carmausin-Ségala</t>
  </si>
  <si>
    <t>200040905</t>
  </si>
  <si>
    <t>Tarn-et-Garonne</t>
  </si>
  <si>
    <t>82 - Tarn-et-Garonne</t>
  </si>
  <si>
    <t>CA Grand Montauban</t>
  </si>
  <si>
    <t>248200099</t>
  </si>
  <si>
    <t>CC Terres des Confluences</t>
  </si>
  <si>
    <t>200066322</t>
  </si>
  <si>
    <t>Pays de la Loire</t>
  </si>
  <si>
    <t>Loire-Atlantique</t>
  </si>
  <si>
    <t>44 - Loire-Atlantique</t>
  </si>
  <si>
    <t>CA Clisson Sèvre et Maine Agglo</t>
  </si>
  <si>
    <t>200067635</t>
  </si>
  <si>
    <t>CA de la Région Nazairienne et de l'Estuaire (CARENE)</t>
  </si>
  <si>
    <t>244400644</t>
  </si>
  <si>
    <t>CA Pornic Agglo Pays de Retz</t>
  </si>
  <si>
    <t>200067346</t>
  </si>
  <si>
    <t>CC Châteaubriant-Derval</t>
  </si>
  <si>
    <t>200072726</t>
  </si>
  <si>
    <t>CC d'Erdre et Gesvres</t>
  </si>
  <si>
    <t>244400503</t>
  </si>
  <si>
    <t>CC du Pays d'Ancenis</t>
  </si>
  <si>
    <t>244400552</t>
  </si>
  <si>
    <t>CC du Pays de Pontchâteau St-Gildas-des-Bois</t>
  </si>
  <si>
    <t>200000438</t>
  </si>
  <si>
    <t>CC du Sud Estuaire</t>
  </si>
  <si>
    <t>244400586</t>
  </si>
  <si>
    <t>Nantes Métropole</t>
  </si>
  <si>
    <t>244400404</t>
  </si>
  <si>
    <t>Maine-et-Loire</t>
  </si>
  <si>
    <t>49 - Maine-et-Loire</t>
  </si>
  <si>
    <t>CA Cholet Agglomération</t>
  </si>
  <si>
    <t>200071678</t>
  </si>
  <si>
    <t>CA Mauges Communauté</t>
  </si>
  <si>
    <t>200060010</t>
  </si>
  <si>
    <t>CA Saumur Val de Loire</t>
  </si>
  <si>
    <t>200071876</t>
  </si>
  <si>
    <t>CC Anjou Bleu Communauté</t>
  </si>
  <si>
    <t>244900809</t>
  </si>
  <si>
    <t>CC Baugeois Vallée</t>
  </si>
  <si>
    <t>244900882</t>
  </si>
  <si>
    <t>CC Loire Layon Aubance</t>
  </si>
  <si>
    <t>200071553</t>
  </si>
  <si>
    <t>CU Angers Loire Métropole</t>
  </si>
  <si>
    <t>244900015</t>
  </si>
  <si>
    <t>Mayenne</t>
  </si>
  <si>
    <t>53 - Mayenne</t>
  </si>
  <si>
    <t>CA Laval Agglomération</t>
  </si>
  <si>
    <t>200083392</t>
  </si>
  <si>
    <t>CC du Pays de Château-Gontier</t>
  </si>
  <si>
    <t>245300447</t>
  </si>
  <si>
    <t>CC du Pays Sabolien</t>
  </si>
  <si>
    <t>247200090</t>
  </si>
  <si>
    <t>CC Mayenne Communauté</t>
  </si>
  <si>
    <t>200055887</t>
  </si>
  <si>
    <t>Sarthe</t>
  </si>
  <si>
    <t>72 - Sarthe</t>
  </si>
  <si>
    <t>CU Le Mans Métropole</t>
  </si>
  <si>
    <t>247200132</t>
  </si>
  <si>
    <t>Vendée</t>
  </si>
  <si>
    <t>85 - Vendée</t>
  </si>
  <si>
    <t>CA du Pays de Saint-Gilles-Croix-de-Vie</t>
  </si>
  <si>
    <t>200023778</t>
  </si>
  <si>
    <t>CA La Roche-sur-Yon - Agglomération</t>
  </si>
  <si>
    <t>248500589</t>
  </si>
  <si>
    <t>CA Les Sables d'Olonne Agglomération</t>
  </si>
  <si>
    <t>200071165</t>
  </si>
  <si>
    <t>CA Terres de Montaigu</t>
  </si>
  <si>
    <t>200070233</t>
  </si>
  <si>
    <t>CC Challans-Gois Communauté</t>
  </si>
  <si>
    <t>200071629</t>
  </si>
  <si>
    <t>CC de Vie et Boulogne</t>
  </si>
  <si>
    <t>200072882</t>
  </si>
  <si>
    <t>CC du Pays de Fontenay-Vendée</t>
  </si>
  <si>
    <t>200071934</t>
  </si>
  <si>
    <t>CC du Pays des Herbiers</t>
  </si>
  <si>
    <t>248500621</t>
  </si>
  <si>
    <t>Provence-Alpes-Côte d'Azur</t>
  </si>
  <si>
    <t>Alpes-de-Haute-Provence</t>
  </si>
  <si>
    <t>04 - Alpes-de-Haute-Provence</t>
  </si>
  <si>
    <t>CA Durance-Lubéron-Verdon Agglomération</t>
  </si>
  <si>
    <t>200034700</t>
  </si>
  <si>
    <t>CA Gap-Tallard-Durance</t>
  </si>
  <si>
    <t>200067825</t>
  </si>
  <si>
    <t>CA Provence-Alpes-Agglomération</t>
  </si>
  <si>
    <t>200067437</t>
  </si>
  <si>
    <t>CC Pays d'Apt-Luberon</t>
  </si>
  <si>
    <t>200040624</t>
  </si>
  <si>
    <t>Hautes-Alpes</t>
  </si>
  <si>
    <t>05 - Hautes-Alpes</t>
  </si>
  <si>
    <t>Alpes-Maritimes</t>
  </si>
  <si>
    <t>06 - Alpes-Maritimes</t>
  </si>
  <si>
    <t>CA Cannes Pays de Lérins</t>
  </si>
  <si>
    <t>200039915</t>
  </si>
  <si>
    <t>CA de la Riviera Française</t>
  </si>
  <si>
    <t>240600551</t>
  </si>
  <si>
    <t>CA de Sophia Antipolis</t>
  </si>
  <si>
    <t>240600585</t>
  </si>
  <si>
    <t>CA du Pays de Grasse</t>
  </si>
  <si>
    <t>200039857</t>
  </si>
  <si>
    <t>Métropole Nice Côte d'Azur</t>
  </si>
  <si>
    <t>200030195</t>
  </si>
  <si>
    <t>Bouches-du-Rhône</t>
  </si>
  <si>
    <t>13 - Bouches-du-Rhône</t>
  </si>
  <si>
    <t>CA d'Arles-Crau-Camargue-Montagnette</t>
  </si>
  <si>
    <t>241300417</t>
  </si>
  <si>
    <t>CA Terre de Provence</t>
  </si>
  <si>
    <t>200035087</t>
  </si>
  <si>
    <t>Métropole d'Aix-Marseille-Provence</t>
  </si>
  <si>
    <t>200054807</t>
  </si>
  <si>
    <t>Var</t>
  </si>
  <si>
    <t>83 - Var</t>
  </si>
  <si>
    <t>CA de la Provence Verte</t>
  </si>
  <si>
    <t>200068104</t>
  </si>
  <si>
    <t>CA Sud Sainte Baume</t>
  </si>
  <si>
    <t>248300394</t>
  </si>
  <si>
    <t>CC de la Vallée du Gapeau</t>
  </si>
  <si>
    <t>248300410</t>
  </si>
  <si>
    <t>CC du Golfe de Saint-Tropez</t>
  </si>
  <si>
    <t>200036077</t>
  </si>
  <si>
    <t>CC Méditerranée Porte des Maures</t>
  </si>
  <si>
    <t>200027100</t>
  </si>
  <si>
    <t>Dracénie Provence Verdon Agglomération</t>
  </si>
  <si>
    <t>248300493</t>
  </si>
  <si>
    <t>Estérel Côte d'Azur Agglomération</t>
  </si>
  <si>
    <t>200035319</t>
  </si>
  <si>
    <t>Métropole Toulon-Provence-Méditerranée</t>
  </si>
  <si>
    <t>248300543</t>
  </si>
  <si>
    <t>Vaucluse</t>
  </si>
  <si>
    <t>84 - Vaucluse</t>
  </si>
  <si>
    <t>CA des Sorgues du Comtat</t>
  </si>
  <si>
    <t>248400293</t>
  </si>
  <si>
    <t>CA Luberon Monts de Vaucluse</t>
  </si>
  <si>
    <t>200040442</t>
  </si>
  <si>
    <t>CA Ventoux-Comtat-Venaissin (COVE)</t>
  </si>
  <si>
    <t>248400053</t>
  </si>
  <si>
    <t>Pays d'Orange en Provence</t>
  </si>
  <si>
    <t>248400236</t>
  </si>
  <si>
    <t>Aurillac Agglomération</t>
  </si>
  <si>
    <t>CC Drôme Sud Provence</t>
  </si>
  <si>
    <t>CC Enclave des Papes - Pays de Grignan</t>
  </si>
  <si>
    <t>Agglomération du Grand Longwy</t>
  </si>
  <si>
    <t>CA "Saintes - Grandes Rives - L'Agglo"</t>
  </si>
  <si>
    <t>Le Grand Ouest Toulousain agglomération</t>
  </si>
  <si>
    <t>Terre de Provence</t>
  </si>
  <si>
    <t>2026</t>
  </si>
  <si>
    <t>Thionville Fensch Agglomération</t>
  </si>
  <si>
    <t>992367730</t>
  </si>
  <si>
    <t>CC du Seignanx</t>
  </si>
  <si>
    <t>244000659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</si>
</sst>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#,##0\ &quot;€&quot;;[Red]\-#,##0\ &quot;€&quot;"/>
    <numFmt numFmtId="164" formatCode="#,##0\ &quot;€&quot;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164" fontId="0" fillId="0" borderId="0" xfId="0" applyNumberFormat="1"/>
    <xf numFmtId="0" fontId="2" fillId="0" borderId="0" xfId="0" applyFont="1"/>
    <xf numFmtId="164" fontId="2" fillId="0" borderId="0" xfId="0" applyNumberFormat="1" applyFont="1"/>
    <xf numFmtId="6" fontId="0" fillId="0" borderId="0" xfId="0" applyNumberFormat="1"/>
    <xf numFmtId="164" fontId="0" fillId="0" borderId="0" xfId="1" applyNumberFormat="1" applyFont="1"/>
  </cellXfs>
  <cellStyles count="2">
    <cellStyle name="Normal" xfId="0" builtinId="0"/>
    <cellStyle name="Pourcentage" xfId="1" builtinId="5"/>
  </cellStyles>
  <dxfs count="32">
    <dxf>
      <numFmt numFmtId="164" formatCode="#,##0\ &quot;€&quot;"/>
    </dxf>
    <dxf>
      <numFmt numFmtId="0" formatCode="General"/>
    </dxf>
    <dxf>
      <numFmt numFmtId="164" formatCode="#,##0\ &quot;€&quot;"/>
    </dxf>
    <dxf>
      <numFmt numFmtId="164" formatCode="#,##0\ &quot;€&quot;"/>
    </dxf>
    <dxf>
      <numFmt numFmtId="164" formatCode="#,##0\ &quot;€&quot;"/>
    </dxf>
    <dxf>
      <numFmt numFmtId="164" formatCode="#,##0\ &quot;€&quot;"/>
    </dxf>
    <dxf>
      <numFmt numFmtId="164" formatCode="#,##0\ &quot;€&quot;"/>
    </dxf>
    <dxf>
      <numFmt numFmtId="164" formatCode="#,##0\ &quot;€&quot;"/>
    </dxf>
    <dxf>
      <numFmt numFmtId="0" formatCode="General"/>
    </dxf>
    <dxf>
      <numFmt numFmtId="0" formatCode="General"/>
    </dxf>
    <dxf>
      <numFmt numFmtId="164" formatCode="#,##0\ &quot;€&quot;"/>
    </dxf>
    <dxf>
      <numFmt numFmtId="164" formatCode="#,##0\ &quot;€&quot;"/>
    </dxf>
    <dxf>
      <numFmt numFmtId="0" formatCode="General"/>
    </dxf>
    <dxf>
      <numFmt numFmtId="0" formatCode="General"/>
    </dxf>
    <dxf>
      <numFmt numFmtId="164" formatCode="#,##0\ &quot;€&quot;"/>
    </dxf>
    <dxf>
      <numFmt numFmtId="164" formatCode="#,##0\ &quot;€&quot;"/>
    </dxf>
    <dxf>
      <numFmt numFmtId="164" formatCode="#,##0\ &quot;€&quot;"/>
    </dxf>
    <dxf>
      <numFmt numFmtId="164" formatCode="#,##0\ &quot;€&quot;"/>
    </dxf>
    <dxf>
      <numFmt numFmtId="164" formatCode="#,##0\ &quot;€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\ &quot;€&quot;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0" formatCode="#,##0\ &quot;€&quot;;[Red]\-#,##0\ &quot;€&quot;"/>
    </dxf>
    <dxf>
      <numFmt numFmtId="10" formatCode="#,##0\ &quot;€&quot;;[Red]\-#,##0\ &quot;€&quot;"/>
    </dxf>
    <dxf>
      <numFmt numFmtId="164" formatCode="#,##0\ &quot;€&quot;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7AA2F1B-8A61-4DF4-8917-2599349251E8}" name="Quartiles_2026" displayName="Quartiles_2026" ref="A1:O463" totalsRowShown="0">
  <autoFilter ref="A1:O463" xr:uid="{E7AA2F1B-8A61-4DF4-8917-2599349251E8}"/>
  <tableColumns count="15">
    <tableColumn id="1" xr3:uid="{7A1A7F48-7EA4-4871-B9EF-38388AB7DB5B}" name="Région"/>
    <tableColumn id="11" xr3:uid="{DAC4A276-7294-41CD-BEAC-FB541015BDB6}" name="Libellé Département" dataDxfId="21">
      <calculatedColumnFormula>MID(C2,6,LEN(C2))</calculatedColumnFormula>
    </tableColumn>
    <tableColumn id="17" xr3:uid="{BED1043E-0AE8-4A70-B7E9-3E7735E7B2CE}" name="Département" dataDxfId="20"/>
    <tableColumn id="3" xr3:uid="{5141C1F6-600F-437C-AA7C-F552600805F6}" name="Nom de l'EPCI"/>
    <tableColumn id="4" xr3:uid="{ABE41927-7974-41EB-BFEA-24D8060F5424}" name="SIRET de l'EPCI"/>
    <tableColumn id="6" xr3:uid="{2F51DCEB-B17C-455F-A66A-63BD7A9A0632}" name="Année de référence"/>
    <tableColumn id="7" xr3:uid="{09080B8A-916C-41DF-BB24-38ED6E8BFC0A}" name="EPCI concerné par l'obligation ?"/>
    <tableColumn id="18" xr3:uid="{F6057805-3E97-40CE-90D2-3FCE59729DAC}" name="Q1 annuel" dataDxfId="19" dataCellStyle="Pourcentage"/>
    <tableColumn id="9" xr3:uid="{5BD7FE2E-B0BA-46A1-88B0-984DED4103BF}" name="Q2 annuel" dataDxfId="18"/>
    <tableColumn id="10" xr3:uid="{1AA79091-461F-46C8-8DFE-3ABDF9A6C48D}" name="Q3 annuel" dataDxfId="17"/>
    <tableColumn id="12" xr3:uid="{30908EA7-BFBC-4115-BA7B-890E3E10EF9C}" name="Q1 mensuel" dataDxfId="16">
      <calculatedColumnFormula>ROUND(H2/12,0)</calculatedColumnFormula>
    </tableColumn>
    <tableColumn id="13" xr3:uid="{D03F0B87-0C4A-48B9-8165-924498A6123F}" name="Q2 mensuel" dataDxfId="15">
      <calculatedColumnFormula>ROUND(I2/12,0)</calculatedColumnFormula>
    </tableColumn>
    <tableColumn id="14" xr3:uid="{D5969E6E-0ACF-44F4-9707-26C24AC48CC5}" name="Q3 mensuel" dataDxfId="14">
      <calculatedColumnFormula>ROUND(J2/12,0)</calculatedColumnFormula>
    </tableColumn>
    <tableColumn id="15" xr3:uid="{0A2A7636-4D3C-45AF-996F-D4011348DC29}" name="Clé" dataDxfId="13">
      <calculatedColumnFormula>SUBSTITUTE(
   UPPER(SUBSTITUTE(TRIM(A2), CHAR(160), " ")) &amp; "|" &amp;
   SUBSTITUTE(TRIM(C2), CHAR(160), " ") &amp; "|" &amp;
   SUBSTITUTE(TRIM(D2), CHAR(160), " "),
   "–", "-"
)</calculatedColumnFormula>
    </tableColumn>
    <tableColumn id="16" xr3:uid="{704898B4-3905-4DDC-BE00-E029DA2C6277}" name="Zone" dataDxfId="12">
      <calculatedColumnFormula>IF(A2="Hauts-de-France", "HDF",
IF(A2="Île-de-France", "IDF",
IF(OR(A2="Guadeloupe", A2="Martinique", A2="Guyane", A2="La Réunion", A2="Mayotte"), "OM", "Province")))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7BF442-93BA-4426-9355-1550CF51C0CA}" name="Quartiles_2025" displayName="Quartiles_2025" ref="A1:O465" totalsRowShown="0" headerRowDxfId="11">
  <autoFilter ref="A1:O465" xr:uid="{257BF442-93BA-4426-9355-1550CF51C0CA}"/>
  <tableColumns count="15">
    <tableColumn id="12" xr3:uid="{8862E4D0-5F7E-4254-8CC0-51FDFC0BE9BA}" name="Région" dataDxfId="10"/>
    <tableColumn id="13" xr3:uid="{1D63C9B1-D484-486D-8057-E95E0A801364}" name="Libellé Département" dataDxfId="9"/>
    <tableColumn id="15" xr3:uid="{3580B9A5-34D0-4314-9165-816105427E2D}" name="Département" dataDxfId="8"/>
    <tableColumn id="2" xr3:uid="{C22AD051-F8C7-488E-8E3D-EBE2E3D90FA7}" name="Nom de l'EPCI"/>
    <tableColumn id="3" xr3:uid="{475FACD2-7AB0-4AF1-A1BC-FA4C35DBAE3B}" name="SIRET de l'EPCI"/>
    <tableColumn id="4" xr3:uid="{BFFC4B01-B588-40B7-9DB7-8B510E99416F}" name="Année de référence"/>
    <tableColumn id="5" xr3:uid="{775DB22B-4BB9-41C1-9267-AA6C61CF9DDA}" name="EPCI concerné par l'obligation ?"/>
    <tableColumn id="6" xr3:uid="{80875829-368C-40A3-AF4C-66A288FA8184}" name="Q1 annuel" dataDxfId="7"/>
    <tableColumn id="7" xr3:uid="{B6FB70DD-585C-42AE-B0E9-CE6A3AB2B4DA}" name="Q2 annuel" dataDxfId="6"/>
    <tableColumn id="8" xr3:uid="{6BB84997-0FF5-4015-9733-6D0CDB2764DF}" name="Q3 annuel" dataDxfId="5"/>
    <tableColumn id="9" xr3:uid="{3C6DAD49-E869-4E2D-96AF-89B7A8878769}" name="Q1 mensuel" dataDxfId="4">
      <calculatedColumnFormula>H2/12</calculatedColumnFormula>
    </tableColumn>
    <tableColumn id="10" xr3:uid="{81394D12-E546-47BA-A7D8-604C4742F08D}" name="Q2 mensuel" dataDxfId="3">
      <calculatedColumnFormula>I2/12</calculatedColumnFormula>
    </tableColumn>
    <tableColumn id="11" xr3:uid="{DE483547-F9D4-4C06-8C18-5223CA3A6407}" name="Q3 mensuel" dataDxfId="2">
      <calculatedColumnFormula>J2/12</calculatedColumnFormula>
    </tableColumn>
    <tableColumn id="1" xr3:uid="{68EFB0F9-CC20-4333-A747-4DC7F306B4BC}" name="Clé" dataDxfId="1">
      <calculatedColumnFormula>SUBSTITUTE(
   UPPER(SUBSTITUTE(TRIM(A2), CHAR(160), " ")) &amp; "|" &amp;
   SUBSTITUTE(TRIM(C2), CHAR(160), " ") &amp; "|" &amp;
   SUBSTITUTE(TRIM(D2), CHAR(160), " "),
   "–", "-"
)</calculatedColumnFormula>
    </tableColumn>
    <tableColumn id="14" xr3:uid="{7FDEC403-6B87-472E-815B-94718F7E32D5}" name="Zone" dataDxfId="0">
      <calculatedColumnFormula>IF(A2="Hauts-de-France", "HDF",
IF(A2="Île-de-France", "IDF",
IF(OR(A2="Guadeloupe", A2="Martinique", A2="Guyane", A2="La Réunion", A2="Mayotte"), "OM", "Province")))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ADFF459-411B-4FCB-9E27-1A251D931F33}" name="Quartiles_2024" displayName="Quartiles_2024" ref="A1:O466" totalsRowShown="0" headerRowDxfId="31">
  <autoFilter ref="A1:O466" xr:uid="{3ADFF459-411B-4FCB-9E27-1A251D931F33}"/>
  <tableColumns count="15">
    <tableColumn id="1" xr3:uid="{87B22493-AFAF-437B-8B38-F4521B94E245}" name="Région"/>
    <tableColumn id="11" xr3:uid="{5BF4AA9F-0BB8-435A-8739-3CCEF221F2C1}" name="Libellé Département" dataDxfId="30">
      <calculatedColumnFormula>MID(C2,6,LEN(C2))</calculatedColumnFormula>
    </tableColumn>
    <tableColumn id="12" xr3:uid="{53ECCAF6-B6C3-48F2-9BCA-55CBDFF50B43}" name="Département" dataDxfId="29"/>
    <tableColumn id="3" xr3:uid="{8545DB05-C62A-4B07-B0C6-0905175267CF}" name="Nom de l'EPCI"/>
    <tableColumn id="4" xr3:uid="{8887283D-EE01-4F8D-8452-95DCF1FE8949}" name="SIRET de l'EPCI"/>
    <tableColumn id="5" xr3:uid="{880DCFF1-FFA4-4E86-9905-E8965D2E6AD6}" name="Année de référence" dataDxfId="28"/>
    <tableColumn id="6" xr3:uid="{164C0C7D-9439-4CEA-8741-097F701B3481}" name="EPCI concerné par l'obligation ?"/>
    <tableColumn id="18" xr3:uid="{7172374C-0514-4F3A-B05C-CDD7BC4D23B1}" name="Q1 annuel" dataDxfId="27"/>
    <tableColumn id="8" xr3:uid="{6252EC2A-8D5B-4D52-8C2A-D3E8FB27CE7B}" name="Q2 annuel" dataDxfId="26"/>
    <tableColumn id="9" xr3:uid="{12FA3F19-6A27-4545-A569-F2B9AB048C22}" name="Q3 annuel" dataDxfId="25"/>
    <tableColumn id="13" xr3:uid="{4B146A81-D1E7-4105-8FFA-EA0E06A156A1}" name="Q1 mensuel" dataDxfId="24">
      <calculatedColumnFormula>H2/12</calculatedColumnFormula>
    </tableColumn>
    <tableColumn id="14" xr3:uid="{6D586AE0-E016-432E-89D5-14E4F0B6AC05}" name="Q2 mensuel">
      <calculatedColumnFormula>I2/12</calculatedColumnFormula>
    </tableColumn>
    <tableColumn id="15" xr3:uid="{DE6D1423-360A-439B-B083-BB5517020A3A}" name="Q3 mensuel">
      <calculatedColumnFormula>J2/12</calculatedColumnFormula>
    </tableColumn>
    <tableColumn id="16" xr3:uid="{92D0C747-E6C5-4F33-979D-B9925DB6D653}" name="Clé" dataDxfId="23">
      <calculatedColumnFormula>SUBSTITUTE(
   UPPER(SUBSTITUTE(TRIM(A2), CHAR(160), " ")) &amp; "|" &amp;
   SUBSTITUTE(TRIM(C2), CHAR(160), " ") &amp; "|" &amp;
   SUBSTITUTE(TRIM(D2), CHAR(160), " "),
   "–", "-"
)</calculatedColumnFormula>
    </tableColumn>
    <tableColumn id="17" xr3:uid="{05B7CBC9-3F8F-4220-B9E9-023E8B3F29D6}" name="Zone" dataDxfId="22">
      <calculatedColumnFormula>IF(A2="Hauts-de-France", "HDF",
IF(A2="Île-de-France", "IDF",
IF(OR(A2="Guadeloupe", A2="Martinique", A2="Guyane", A2="La Réunion", A2="Mayotte"), "OM", "Province")))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4A6E4-F47F-492C-96F8-7BF530228AB1}">
  <dimension ref="A1:O463"/>
  <sheetViews>
    <sheetView workbookViewId="0">
      <selection activeCell="K2" sqref="K2"/>
    </sheetView>
  </sheetViews>
  <sheetFormatPr baseColWidth="10" defaultRowHeight="15" x14ac:dyDescent="0.25"/>
  <cols>
    <col min="1" max="1" width="25.28515625" bestFit="1" customWidth="1"/>
    <col min="2" max="2" width="23.5703125" bestFit="1" customWidth="1"/>
    <col min="3" max="3" width="27.28515625" bestFit="1" customWidth="1"/>
    <col min="4" max="4" width="56.140625" bestFit="1" customWidth="1"/>
    <col min="5" max="5" width="16.85546875" bestFit="1" customWidth="1"/>
    <col min="6" max="6" width="21.140625" bestFit="1" customWidth="1"/>
    <col min="7" max="7" width="32" bestFit="1" customWidth="1"/>
    <col min="8" max="10" width="12.28515625" bestFit="1" customWidth="1"/>
    <col min="11" max="13" width="14" bestFit="1" customWidth="1"/>
    <col min="14" max="14" width="102.140625" bestFit="1" customWidth="1"/>
    <col min="15" max="15" width="8.5703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5" t="s">
        <v>7</v>
      </c>
      <c r="I1" s="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tr">
        <f t="shared" ref="B2:B65" si="0">MID(C2,6,LEN(C2))</f>
        <v>Ain</v>
      </c>
      <c r="C2" t="s">
        <v>17</v>
      </c>
      <c r="D2" t="s">
        <v>18</v>
      </c>
      <c r="E2" t="s">
        <v>19</v>
      </c>
      <c r="F2" t="s">
        <v>1093</v>
      </c>
      <c r="G2" t="s">
        <v>21</v>
      </c>
      <c r="H2" s="5">
        <v>11168</v>
      </c>
      <c r="I2" s="1">
        <v>15276</v>
      </c>
      <c r="J2" s="1">
        <v>20380</v>
      </c>
      <c r="K2" s="1">
        <f t="shared" ref="K2:M65" si="1">ROUND(H2/12,0)</f>
        <v>931</v>
      </c>
      <c r="L2" s="1">
        <f t="shared" si="1"/>
        <v>1273</v>
      </c>
      <c r="M2" s="1">
        <f t="shared" si="1"/>
        <v>1698</v>
      </c>
      <c r="N2" t="str">
        <f t="shared" ref="N2:N65" si="2">SUBSTITUTE(
   UPPER(SUBSTITUTE(TRIM(A2), CHAR(160), " ")) &amp; "|" &amp;
   SUBSTITUTE(TRIM(C2), CHAR(160), " ") &amp; "|" &amp;
   SUBSTITUTE(TRIM(D2), CHAR(160), " "),
   "–", "-"
)</f>
        <v>AUVERGNE-RHÔNE-ALPES|01 - Ain|CA du Bassin de Bourg-en-Bresse</v>
      </c>
      <c r="O2" t="str">
        <f t="shared" ref="O2:O65" si="3">IF(A2="Hauts-de-France", "HDF",
IF(A2="Île-de-France", "IDF",
IF(OR(A2="Guadeloupe", A2="Martinique", A2="Guyane", A2="La Réunion", A2="Mayotte"), "OM", "Province")))</f>
        <v>Province</v>
      </c>
    </row>
    <row r="3" spans="1:15" x14ac:dyDescent="0.25">
      <c r="A3" t="s">
        <v>15</v>
      </c>
      <c r="B3" t="str">
        <f t="shared" si="0"/>
        <v>Ain</v>
      </c>
      <c r="C3" t="s">
        <v>17</v>
      </c>
      <c r="D3" t="s">
        <v>22</v>
      </c>
      <c r="E3" t="s">
        <v>23</v>
      </c>
      <c r="F3" t="s">
        <v>1093</v>
      </c>
      <c r="G3" t="s">
        <v>21</v>
      </c>
      <c r="H3" s="5">
        <v>12058</v>
      </c>
      <c r="I3" s="1">
        <v>18553</v>
      </c>
      <c r="J3" s="1">
        <v>25200</v>
      </c>
      <c r="K3" s="1">
        <f t="shared" si="1"/>
        <v>1005</v>
      </c>
      <c r="L3" s="1">
        <f t="shared" si="1"/>
        <v>1546</v>
      </c>
      <c r="M3" s="1">
        <f t="shared" si="1"/>
        <v>2100</v>
      </c>
      <c r="N3" t="str">
        <f t="shared" si="2"/>
        <v>AUVERGNE-RHÔNE-ALPES|01 - Ain|CA du Pays de Gex</v>
      </c>
      <c r="O3" t="str">
        <f t="shared" si="3"/>
        <v>Province</v>
      </c>
    </row>
    <row r="4" spans="1:15" x14ac:dyDescent="0.25">
      <c r="A4" t="s">
        <v>15</v>
      </c>
      <c r="B4" t="str">
        <f t="shared" si="0"/>
        <v>Ain</v>
      </c>
      <c r="C4" t="s">
        <v>17</v>
      </c>
      <c r="D4" t="s">
        <v>24</v>
      </c>
      <c r="E4" t="s">
        <v>25</v>
      </c>
      <c r="F4" t="s">
        <v>1093</v>
      </c>
      <c r="G4" t="s">
        <v>21</v>
      </c>
      <c r="H4" s="5">
        <v>10658</v>
      </c>
      <c r="I4" s="1">
        <v>15097</v>
      </c>
      <c r="J4" s="1">
        <v>20400</v>
      </c>
      <c r="K4" s="1">
        <f t="shared" si="1"/>
        <v>888</v>
      </c>
      <c r="L4" s="1">
        <f t="shared" si="1"/>
        <v>1258</v>
      </c>
      <c r="M4" s="1">
        <f t="shared" si="1"/>
        <v>1700</v>
      </c>
      <c r="N4" t="str">
        <f t="shared" si="2"/>
        <v>AUVERGNE-RHÔNE-ALPES|01 - Ain|CA Haut-Bugey Agglomération</v>
      </c>
      <c r="O4" t="str">
        <f t="shared" si="3"/>
        <v>Province</v>
      </c>
    </row>
    <row r="5" spans="1:15" x14ac:dyDescent="0.25">
      <c r="A5" t="s">
        <v>15</v>
      </c>
      <c r="B5" t="str">
        <f t="shared" si="0"/>
        <v>Ain</v>
      </c>
      <c r="C5" t="s">
        <v>17</v>
      </c>
      <c r="D5" t="s">
        <v>26</v>
      </c>
      <c r="E5" t="s">
        <v>27</v>
      </c>
      <c r="F5" t="s">
        <v>1093</v>
      </c>
      <c r="G5" t="s">
        <v>21</v>
      </c>
      <c r="H5" s="5">
        <v>10054</v>
      </c>
      <c r="I5" s="1">
        <v>14004</v>
      </c>
      <c r="J5" s="1">
        <v>19200</v>
      </c>
      <c r="K5" s="1">
        <f t="shared" si="1"/>
        <v>838</v>
      </c>
      <c r="L5" s="1">
        <f t="shared" si="1"/>
        <v>1167</v>
      </c>
      <c r="M5" s="1">
        <f t="shared" si="1"/>
        <v>1600</v>
      </c>
      <c r="N5" t="str">
        <f t="shared" si="2"/>
        <v>AUVERGNE-RHÔNE-ALPES|01 - Ain|CA Mâconnais Beaujolais Agglomération</v>
      </c>
      <c r="O5" t="str">
        <f t="shared" si="3"/>
        <v>Province</v>
      </c>
    </row>
    <row r="6" spans="1:15" x14ac:dyDescent="0.25">
      <c r="A6" t="s">
        <v>15</v>
      </c>
      <c r="B6" t="str">
        <f t="shared" si="0"/>
        <v>Ain</v>
      </c>
      <c r="C6" t="s">
        <v>17</v>
      </c>
      <c r="D6" t="s">
        <v>28</v>
      </c>
      <c r="E6" t="s">
        <v>29</v>
      </c>
      <c r="F6" t="s">
        <v>1093</v>
      </c>
      <c r="G6" t="s">
        <v>21</v>
      </c>
      <c r="H6" s="5">
        <v>10074</v>
      </c>
      <c r="I6" s="1">
        <v>14346</v>
      </c>
      <c r="J6" s="1">
        <v>19453</v>
      </c>
      <c r="K6" s="1">
        <f t="shared" si="1"/>
        <v>840</v>
      </c>
      <c r="L6" s="1">
        <f t="shared" si="1"/>
        <v>1196</v>
      </c>
      <c r="M6" s="1">
        <f t="shared" si="1"/>
        <v>1621</v>
      </c>
      <c r="N6" t="str">
        <f t="shared" si="2"/>
        <v>AUVERGNE-RHÔNE-ALPES|01 - Ain|CA Villefranche Beaujolais Saône</v>
      </c>
      <c r="O6" t="str">
        <f t="shared" si="3"/>
        <v>Province</v>
      </c>
    </row>
    <row r="7" spans="1:15" x14ac:dyDescent="0.25">
      <c r="A7" t="s">
        <v>15</v>
      </c>
      <c r="B7" t="str">
        <f t="shared" si="0"/>
        <v>Ain</v>
      </c>
      <c r="C7" t="s">
        <v>17</v>
      </c>
      <c r="D7" t="s">
        <v>30</v>
      </c>
      <c r="E7" t="s">
        <v>31</v>
      </c>
      <c r="F7" t="s">
        <v>1093</v>
      </c>
      <c r="G7" t="s">
        <v>21</v>
      </c>
      <c r="H7" s="5">
        <v>11028</v>
      </c>
      <c r="I7" s="1">
        <v>14400</v>
      </c>
      <c r="J7" s="1">
        <v>19413</v>
      </c>
      <c r="K7" s="1">
        <f t="shared" si="1"/>
        <v>919</v>
      </c>
      <c r="L7" s="1">
        <f t="shared" si="1"/>
        <v>1200</v>
      </c>
      <c r="M7" s="1">
        <f t="shared" si="1"/>
        <v>1618</v>
      </c>
      <c r="N7" t="str">
        <f t="shared" si="2"/>
        <v>AUVERGNE-RHÔNE-ALPES|01 - Ain|CC Bugey Sud</v>
      </c>
      <c r="O7" t="str">
        <f t="shared" si="3"/>
        <v>Province</v>
      </c>
    </row>
    <row r="8" spans="1:15" x14ac:dyDescent="0.25">
      <c r="A8" t="s">
        <v>15</v>
      </c>
      <c r="B8" t="str">
        <f t="shared" si="0"/>
        <v>Ain</v>
      </c>
      <c r="C8" t="s">
        <v>17</v>
      </c>
      <c r="D8" t="s">
        <v>32</v>
      </c>
      <c r="E8" t="s">
        <v>33</v>
      </c>
      <c r="F8" t="s">
        <v>1093</v>
      </c>
      <c r="G8" t="s">
        <v>21</v>
      </c>
      <c r="H8" s="5">
        <v>12123</v>
      </c>
      <c r="I8" s="1">
        <v>17372</v>
      </c>
      <c r="J8" s="1">
        <v>22198</v>
      </c>
      <c r="K8" s="1">
        <f t="shared" si="1"/>
        <v>1010</v>
      </c>
      <c r="L8" s="1">
        <f t="shared" si="1"/>
        <v>1448</v>
      </c>
      <c r="M8" s="1">
        <f t="shared" si="1"/>
        <v>1850</v>
      </c>
      <c r="N8" t="str">
        <f t="shared" si="2"/>
        <v>AUVERGNE-RHÔNE-ALPES|01 - Ain|CC de la Côtière à Montluel</v>
      </c>
      <c r="O8" t="str">
        <f t="shared" si="3"/>
        <v>Province</v>
      </c>
    </row>
    <row r="9" spans="1:15" x14ac:dyDescent="0.25">
      <c r="A9" t="s">
        <v>15</v>
      </c>
      <c r="B9" t="str">
        <f t="shared" si="0"/>
        <v>Ain</v>
      </c>
      <c r="C9" t="s">
        <v>17</v>
      </c>
      <c r="D9" t="s">
        <v>34</v>
      </c>
      <c r="E9" t="s">
        <v>35</v>
      </c>
      <c r="F9" t="s">
        <v>1093</v>
      </c>
      <c r="G9" t="s">
        <v>21</v>
      </c>
      <c r="H9" s="5">
        <v>11561</v>
      </c>
      <c r="I9" s="1">
        <v>15640</v>
      </c>
      <c r="J9" s="1">
        <v>20710</v>
      </c>
      <c r="K9" s="1">
        <f t="shared" si="1"/>
        <v>963</v>
      </c>
      <c r="L9" s="1">
        <f t="shared" si="1"/>
        <v>1303</v>
      </c>
      <c r="M9" s="1">
        <f t="shared" si="1"/>
        <v>1726</v>
      </c>
      <c r="N9" t="str">
        <f t="shared" si="2"/>
        <v>AUVERGNE-RHÔNE-ALPES|01 - Ain|CC de la Plaine de l'Ain</v>
      </c>
      <c r="O9" t="str">
        <f t="shared" si="3"/>
        <v>Province</v>
      </c>
    </row>
    <row r="10" spans="1:15" x14ac:dyDescent="0.25">
      <c r="A10" t="s">
        <v>15</v>
      </c>
      <c r="B10" t="str">
        <f t="shared" si="0"/>
        <v>Allier</v>
      </c>
      <c r="C10" t="s">
        <v>37</v>
      </c>
      <c r="D10" t="s">
        <v>38</v>
      </c>
      <c r="E10" t="s">
        <v>39</v>
      </c>
      <c r="F10" t="s">
        <v>1093</v>
      </c>
      <c r="G10" t="s">
        <v>21</v>
      </c>
      <c r="H10" s="5">
        <v>8673</v>
      </c>
      <c r="I10" s="1">
        <v>12180</v>
      </c>
      <c r="J10" s="1">
        <v>16528</v>
      </c>
      <c r="K10" s="1">
        <f t="shared" si="1"/>
        <v>723</v>
      </c>
      <c r="L10" s="1">
        <f t="shared" si="1"/>
        <v>1015</v>
      </c>
      <c r="M10" s="1">
        <f t="shared" si="1"/>
        <v>1377</v>
      </c>
      <c r="N10" t="str">
        <f t="shared" si="2"/>
        <v>AUVERGNE-RHÔNE-ALPES|03 - Allier|CA Montluçon Communauté</v>
      </c>
      <c r="O10" t="str">
        <f t="shared" si="3"/>
        <v>Province</v>
      </c>
    </row>
    <row r="11" spans="1:15" x14ac:dyDescent="0.25">
      <c r="A11" t="s">
        <v>15</v>
      </c>
      <c r="B11" t="str">
        <f t="shared" si="0"/>
        <v>Allier</v>
      </c>
      <c r="C11" t="s">
        <v>37</v>
      </c>
      <c r="D11" t="s">
        <v>40</v>
      </c>
      <c r="E11" t="s">
        <v>41</v>
      </c>
      <c r="F11" t="s">
        <v>1093</v>
      </c>
      <c r="G11" t="s">
        <v>21</v>
      </c>
      <c r="H11" s="5">
        <v>9332</v>
      </c>
      <c r="I11" s="1">
        <v>12818</v>
      </c>
      <c r="J11" s="1">
        <v>17778</v>
      </c>
      <c r="K11" s="1">
        <f t="shared" si="1"/>
        <v>778</v>
      </c>
      <c r="L11" s="1">
        <f t="shared" si="1"/>
        <v>1068</v>
      </c>
      <c r="M11" s="1">
        <f t="shared" si="1"/>
        <v>1482</v>
      </c>
      <c r="N11" t="str">
        <f t="shared" si="2"/>
        <v>AUVERGNE-RHÔNE-ALPES|03 - Allier|CA Moulins Communauté</v>
      </c>
      <c r="O11" t="str">
        <f t="shared" si="3"/>
        <v>Province</v>
      </c>
    </row>
    <row r="12" spans="1:15" x14ac:dyDescent="0.25">
      <c r="A12" t="s">
        <v>15</v>
      </c>
      <c r="B12" t="str">
        <f t="shared" si="0"/>
        <v>Allier</v>
      </c>
      <c r="C12" t="s">
        <v>37</v>
      </c>
      <c r="D12" t="s">
        <v>42</v>
      </c>
      <c r="E12" t="s">
        <v>43</v>
      </c>
      <c r="F12" t="s">
        <v>1093</v>
      </c>
      <c r="G12" t="s">
        <v>21</v>
      </c>
      <c r="H12" s="5">
        <v>9013</v>
      </c>
      <c r="I12" s="1">
        <v>13120</v>
      </c>
      <c r="J12" s="1">
        <v>18057</v>
      </c>
      <c r="K12" s="1">
        <f t="shared" si="1"/>
        <v>751</v>
      </c>
      <c r="L12" s="1">
        <f t="shared" si="1"/>
        <v>1093</v>
      </c>
      <c r="M12" s="1">
        <f t="shared" si="1"/>
        <v>1505</v>
      </c>
      <c r="N12" t="str">
        <f t="shared" si="2"/>
        <v>AUVERGNE-RHÔNE-ALPES|03 - Allier|CA Vichy Communauté</v>
      </c>
      <c r="O12" t="str">
        <f t="shared" si="3"/>
        <v>Province</v>
      </c>
    </row>
    <row r="13" spans="1:15" x14ac:dyDescent="0.25">
      <c r="A13" t="s">
        <v>15</v>
      </c>
      <c r="B13" t="str">
        <f t="shared" si="0"/>
        <v>Ardèche</v>
      </c>
      <c r="C13" t="s">
        <v>45</v>
      </c>
      <c r="D13" t="s">
        <v>46</v>
      </c>
      <c r="E13" t="s">
        <v>47</v>
      </c>
      <c r="F13" t="s">
        <v>1093</v>
      </c>
      <c r="G13" t="s">
        <v>21</v>
      </c>
      <c r="H13" s="5">
        <v>10428</v>
      </c>
      <c r="I13" s="1">
        <v>13884</v>
      </c>
      <c r="J13" s="1">
        <v>19440</v>
      </c>
      <c r="K13" s="1">
        <f t="shared" si="1"/>
        <v>869</v>
      </c>
      <c r="L13" s="1">
        <f t="shared" si="1"/>
        <v>1157</v>
      </c>
      <c r="M13" s="1">
        <f t="shared" si="1"/>
        <v>1620</v>
      </c>
      <c r="N13" t="str">
        <f t="shared" si="2"/>
        <v>AUVERGNE-RHÔNE-ALPES|07 - Ardèche|CA Annonay Rhône Agglo</v>
      </c>
      <c r="O13" t="str">
        <f t="shared" si="3"/>
        <v>Province</v>
      </c>
    </row>
    <row r="14" spans="1:15" x14ac:dyDescent="0.25">
      <c r="A14" t="s">
        <v>15</v>
      </c>
      <c r="B14" t="str">
        <f t="shared" si="0"/>
        <v>Ardèche</v>
      </c>
      <c r="C14" t="s">
        <v>45</v>
      </c>
      <c r="D14" t="s">
        <v>48</v>
      </c>
      <c r="E14" t="s">
        <v>49</v>
      </c>
      <c r="F14" t="s">
        <v>1093</v>
      </c>
      <c r="G14" t="s">
        <v>21</v>
      </c>
      <c r="H14" s="5">
        <v>9925</v>
      </c>
      <c r="I14" s="1">
        <v>13647</v>
      </c>
      <c r="J14" s="1">
        <v>18079</v>
      </c>
      <c r="K14" s="1">
        <f t="shared" si="1"/>
        <v>827</v>
      </c>
      <c r="L14" s="1">
        <f t="shared" si="1"/>
        <v>1137</v>
      </c>
      <c r="M14" s="1">
        <f t="shared" si="1"/>
        <v>1507</v>
      </c>
      <c r="N14" t="str">
        <f t="shared" si="2"/>
        <v>AUVERGNE-RHÔNE-ALPES|07 - Ardèche|CA Arche Agglo</v>
      </c>
      <c r="O14" t="str">
        <f t="shared" si="3"/>
        <v>Province</v>
      </c>
    </row>
    <row r="15" spans="1:15" x14ac:dyDescent="0.25">
      <c r="A15" t="s">
        <v>15</v>
      </c>
      <c r="B15" t="str">
        <f t="shared" si="0"/>
        <v>Ardèche</v>
      </c>
      <c r="C15" t="s">
        <v>45</v>
      </c>
      <c r="D15" t="s">
        <v>50</v>
      </c>
      <c r="E15" t="s">
        <v>51</v>
      </c>
      <c r="F15" t="s">
        <v>1093</v>
      </c>
      <c r="G15" t="s">
        <v>21</v>
      </c>
      <c r="H15" s="5">
        <v>9203</v>
      </c>
      <c r="I15" s="1">
        <v>12682</v>
      </c>
      <c r="J15" s="1">
        <v>18118</v>
      </c>
      <c r="K15" s="1">
        <f t="shared" si="1"/>
        <v>767</v>
      </c>
      <c r="L15" s="1">
        <f t="shared" si="1"/>
        <v>1057</v>
      </c>
      <c r="M15" s="1">
        <f t="shared" si="1"/>
        <v>1510</v>
      </c>
      <c r="N15" t="str">
        <f t="shared" si="2"/>
        <v>AUVERGNE-RHÔNE-ALPES|07 - Ardèche|CA Privas Centre Ardèche</v>
      </c>
      <c r="O15" t="str">
        <f t="shared" si="3"/>
        <v>Province</v>
      </c>
    </row>
    <row r="16" spans="1:15" x14ac:dyDescent="0.25">
      <c r="A16" t="s">
        <v>15</v>
      </c>
      <c r="B16" t="str">
        <f t="shared" si="0"/>
        <v>Ardèche</v>
      </c>
      <c r="C16" t="s">
        <v>45</v>
      </c>
      <c r="D16" t="s">
        <v>52</v>
      </c>
      <c r="E16" t="s">
        <v>53</v>
      </c>
      <c r="F16" t="s">
        <v>1093</v>
      </c>
      <c r="G16" t="s">
        <v>21</v>
      </c>
      <c r="H16" s="5">
        <v>9806</v>
      </c>
      <c r="I16" s="1">
        <v>13515</v>
      </c>
      <c r="J16" s="1">
        <v>18071</v>
      </c>
      <c r="K16" s="1">
        <f t="shared" si="1"/>
        <v>817</v>
      </c>
      <c r="L16" s="1">
        <f t="shared" si="1"/>
        <v>1126</v>
      </c>
      <c r="M16" s="1">
        <f t="shared" si="1"/>
        <v>1506</v>
      </c>
      <c r="N16" t="str">
        <f t="shared" si="2"/>
        <v>AUVERGNE-RHÔNE-ALPES|07 - Ardèche|CC Ardèche Rhône Coiron</v>
      </c>
      <c r="O16" t="str">
        <f t="shared" si="3"/>
        <v>Province</v>
      </c>
    </row>
    <row r="17" spans="1:15" x14ac:dyDescent="0.25">
      <c r="A17" t="s">
        <v>15</v>
      </c>
      <c r="B17" t="str">
        <f t="shared" si="0"/>
        <v>Ardèche</v>
      </c>
      <c r="C17" t="s">
        <v>45</v>
      </c>
      <c r="D17" t="s">
        <v>54</v>
      </c>
      <c r="E17" t="s">
        <v>55</v>
      </c>
      <c r="F17" t="s">
        <v>1093</v>
      </c>
      <c r="G17" t="s">
        <v>21</v>
      </c>
      <c r="H17" s="5">
        <v>7620</v>
      </c>
      <c r="I17" s="1">
        <v>12036</v>
      </c>
      <c r="J17" s="1">
        <v>15288</v>
      </c>
      <c r="K17" s="1">
        <f t="shared" si="1"/>
        <v>635</v>
      </c>
      <c r="L17" s="1">
        <f t="shared" si="1"/>
        <v>1003</v>
      </c>
      <c r="M17" s="1">
        <f t="shared" si="1"/>
        <v>1274</v>
      </c>
      <c r="N17" t="str">
        <f t="shared" si="2"/>
        <v>AUVERGNE-RHÔNE-ALPES|07 - Ardèche|CC de Cèze Cévennes</v>
      </c>
      <c r="O17" t="str">
        <f t="shared" si="3"/>
        <v>Province</v>
      </c>
    </row>
    <row r="18" spans="1:15" x14ac:dyDescent="0.25">
      <c r="A18" t="s">
        <v>15</v>
      </c>
      <c r="B18" t="str">
        <f t="shared" si="0"/>
        <v>Ardèche</v>
      </c>
      <c r="C18" t="s">
        <v>45</v>
      </c>
      <c r="D18" t="s">
        <v>56</v>
      </c>
      <c r="E18" t="s">
        <v>57</v>
      </c>
      <c r="F18" t="s">
        <v>1093</v>
      </c>
      <c r="G18" t="s">
        <v>21</v>
      </c>
      <c r="H18" s="5">
        <v>8518</v>
      </c>
      <c r="I18" s="1">
        <v>12396</v>
      </c>
      <c r="J18" s="1">
        <v>16791</v>
      </c>
      <c r="K18" s="1">
        <f t="shared" si="1"/>
        <v>710</v>
      </c>
      <c r="L18" s="1">
        <f t="shared" si="1"/>
        <v>1033</v>
      </c>
      <c r="M18" s="1">
        <f t="shared" si="1"/>
        <v>1399</v>
      </c>
      <c r="N18" t="str">
        <f t="shared" si="2"/>
        <v>AUVERGNE-RHÔNE-ALPES|07 - Ardèche|CC du Bassin d'Aubenas</v>
      </c>
      <c r="O18" t="str">
        <f t="shared" si="3"/>
        <v>Province</v>
      </c>
    </row>
    <row r="19" spans="1:15" x14ac:dyDescent="0.25">
      <c r="A19" t="s">
        <v>15</v>
      </c>
      <c r="B19" t="str">
        <f t="shared" si="0"/>
        <v>Ardèche</v>
      </c>
      <c r="C19" t="s">
        <v>45</v>
      </c>
      <c r="D19" t="s">
        <v>58</v>
      </c>
      <c r="E19" t="s">
        <v>59</v>
      </c>
      <c r="F19" t="s">
        <v>1093</v>
      </c>
      <c r="G19" t="s">
        <v>21</v>
      </c>
      <c r="H19" s="5">
        <v>10028</v>
      </c>
      <c r="I19" s="1">
        <v>13620</v>
      </c>
      <c r="J19" s="1">
        <v>18429</v>
      </c>
      <c r="K19" s="1">
        <f t="shared" si="1"/>
        <v>836</v>
      </c>
      <c r="L19" s="1">
        <f t="shared" si="1"/>
        <v>1135</v>
      </c>
      <c r="M19" s="1">
        <f t="shared" si="1"/>
        <v>1536</v>
      </c>
      <c r="N19" t="str">
        <f t="shared" si="2"/>
        <v>AUVERGNE-RHÔNE-ALPES|07 - Ardèche|CC Porte de Dromardèche</v>
      </c>
      <c r="O19" t="str">
        <f t="shared" si="3"/>
        <v>Province</v>
      </c>
    </row>
    <row r="20" spans="1:15" x14ac:dyDescent="0.25">
      <c r="A20" t="s">
        <v>15</v>
      </c>
      <c r="B20" t="str">
        <f t="shared" si="0"/>
        <v>Ardèche</v>
      </c>
      <c r="C20" t="s">
        <v>45</v>
      </c>
      <c r="D20" t="s">
        <v>60</v>
      </c>
      <c r="E20" t="s">
        <v>61</v>
      </c>
      <c r="F20" t="s">
        <v>1093</v>
      </c>
      <c r="G20" t="s">
        <v>21</v>
      </c>
      <c r="H20" s="5">
        <v>11044</v>
      </c>
      <c r="I20" s="1">
        <v>14630</v>
      </c>
      <c r="J20" s="1">
        <v>19257</v>
      </c>
      <c r="K20" s="1">
        <f t="shared" si="1"/>
        <v>920</v>
      </c>
      <c r="L20" s="1">
        <f t="shared" si="1"/>
        <v>1219</v>
      </c>
      <c r="M20" s="1">
        <f t="shared" si="1"/>
        <v>1605</v>
      </c>
      <c r="N20" t="str">
        <f t="shared" si="2"/>
        <v>AUVERGNE-RHÔNE-ALPES|07 - Ardèche|CC Rhône Crussol</v>
      </c>
      <c r="O20" t="str">
        <f t="shared" si="3"/>
        <v>Province</v>
      </c>
    </row>
    <row r="21" spans="1:15" x14ac:dyDescent="0.25">
      <c r="A21" t="s">
        <v>15</v>
      </c>
      <c r="B21" t="str">
        <f t="shared" si="0"/>
        <v>Cantal</v>
      </c>
      <c r="C21" t="s">
        <v>63</v>
      </c>
      <c r="D21" t="s">
        <v>1086</v>
      </c>
      <c r="E21" t="s">
        <v>65</v>
      </c>
      <c r="F21" t="s">
        <v>1093</v>
      </c>
      <c r="G21" t="s">
        <v>21</v>
      </c>
      <c r="H21" s="5">
        <v>9105</v>
      </c>
      <c r="I21" s="1">
        <v>13123</v>
      </c>
      <c r="J21" s="1">
        <v>18219</v>
      </c>
      <c r="K21" s="1">
        <f t="shared" si="1"/>
        <v>759</v>
      </c>
      <c r="L21" s="1">
        <f t="shared" si="1"/>
        <v>1094</v>
      </c>
      <c r="M21" s="1">
        <f t="shared" si="1"/>
        <v>1518</v>
      </c>
      <c r="N21" t="str">
        <f t="shared" si="2"/>
        <v>AUVERGNE-RHÔNE-ALPES|15 - Cantal|Aurillac Agglomération</v>
      </c>
      <c r="O21" t="str">
        <f t="shared" si="3"/>
        <v>Province</v>
      </c>
    </row>
    <row r="22" spans="1:15" x14ac:dyDescent="0.25">
      <c r="A22" t="s">
        <v>15</v>
      </c>
      <c r="B22" t="str">
        <f t="shared" si="0"/>
        <v>Drôme</v>
      </c>
      <c r="C22" t="s">
        <v>67</v>
      </c>
      <c r="D22" t="s">
        <v>48</v>
      </c>
      <c r="E22" t="s">
        <v>49</v>
      </c>
      <c r="F22" t="s">
        <v>1093</v>
      </c>
      <c r="G22" t="s">
        <v>21</v>
      </c>
      <c r="H22" s="5">
        <v>9925</v>
      </c>
      <c r="I22" s="1">
        <v>13647</v>
      </c>
      <c r="J22" s="1">
        <v>18079</v>
      </c>
      <c r="K22" s="1">
        <f t="shared" si="1"/>
        <v>827</v>
      </c>
      <c r="L22" s="1">
        <f t="shared" si="1"/>
        <v>1137</v>
      </c>
      <c r="M22" s="1">
        <f t="shared" si="1"/>
        <v>1507</v>
      </c>
      <c r="N22" t="str">
        <f t="shared" si="2"/>
        <v>AUVERGNE-RHÔNE-ALPES|26 - Drôme|CA Arche Agglo</v>
      </c>
      <c r="O22" t="str">
        <f t="shared" si="3"/>
        <v>Province</v>
      </c>
    </row>
    <row r="23" spans="1:15" x14ac:dyDescent="0.25">
      <c r="A23" t="s">
        <v>15</v>
      </c>
      <c r="B23" t="str">
        <f t="shared" si="0"/>
        <v>Drôme</v>
      </c>
      <c r="C23" t="s">
        <v>67</v>
      </c>
      <c r="D23" t="s">
        <v>68</v>
      </c>
      <c r="E23" t="s">
        <v>69</v>
      </c>
      <c r="F23" t="s">
        <v>1093</v>
      </c>
      <c r="G23" t="s">
        <v>21</v>
      </c>
      <c r="H23" s="5">
        <v>9804</v>
      </c>
      <c r="I23" s="1">
        <v>13208</v>
      </c>
      <c r="J23" s="1">
        <v>18132</v>
      </c>
      <c r="K23" s="1">
        <f t="shared" si="1"/>
        <v>817</v>
      </c>
      <c r="L23" s="1">
        <f t="shared" si="1"/>
        <v>1101</v>
      </c>
      <c r="M23" s="1">
        <f t="shared" si="1"/>
        <v>1511</v>
      </c>
      <c r="N23" t="str">
        <f t="shared" si="2"/>
        <v>AUVERGNE-RHÔNE-ALPES|26 - Drôme|CA Montélimar Agglomération</v>
      </c>
      <c r="O23" t="str">
        <f t="shared" si="3"/>
        <v>Province</v>
      </c>
    </row>
    <row r="24" spans="1:15" x14ac:dyDescent="0.25">
      <c r="A24" t="s">
        <v>15</v>
      </c>
      <c r="B24" t="str">
        <f t="shared" si="0"/>
        <v>Drôme</v>
      </c>
      <c r="C24" t="s">
        <v>67</v>
      </c>
      <c r="D24" t="s">
        <v>70</v>
      </c>
      <c r="E24" t="s">
        <v>71</v>
      </c>
      <c r="F24" t="s">
        <v>1093</v>
      </c>
      <c r="G24" t="s">
        <v>21</v>
      </c>
      <c r="H24" s="5">
        <v>10140</v>
      </c>
      <c r="I24" s="1">
        <v>13897</v>
      </c>
      <c r="J24" s="1">
        <v>18958</v>
      </c>
      <c r="K24" s="1">
        <f t="shared" si="1"/>
        <v>845</v>
      </c>
      <c r="L24" s="1">
        <f t="shared" si="1"/>
        <v>1158</v>
      </c>
      <c r="M24" s="1">
        <f t="shared" si="1"/>
        <v>1580</v>
      </c>
      <c r="N24" t="str">
        <f t="shared" si="2"/>
        <v>AUVERGNE-RHÔNE-ALPES|26 - Drôme|CA Valence Romans Agglo</v>
      </c>
      <c r="O24" t="str">
        <f t="shared" si="3"/>
        <v>Province</v>
      </c>
    </row>
    <row r="25" spans="1:15" x14ac:dyDescent="0.25">
      <c r="A25" t="s">
        <v>15</v>
      </c>
      <c r="B25" t="str">
        <f t="shared" si="0"/>
        <v>Drôme</v>
      </c>
      <c r="C25" t="s">
        <v>67</v>
      </c>
      <c r="D25" t="s">
        <v>72</v>
      </c>
      <c r="E25" t="s">
        <v>73</v>
      </c>
      <c r="F25" t="s">
        <v>1093</v>
      </c>
      <c r="G25" t="s">
        <v>21</v>
      </c>
      <c r="H25" s="5">
        <v>9516</v>
      </c>
      <c r="I25" s="1">
        <v>13200</v>
      </c>
      <c r="J25" s="1">
        <v>18000</v>
      </c>
      <c r="K25" s="1">
        <f t="shared" si="1"/>
        <v>793</v>
      </c>
      <c r="L25" s="1">
        <f t="shared" si="1"/>
        <v>1100</v>
      </c>
      <c r="M25" s="1">
        <f t="shared" si="1"/>
        <v>1500</v>
      </c>
      <c r="N25" t="str">
        <f t="shared" si="2"/>
        <v>AUVERGNE-RHÔNE-ALPES|26 - Drôme|CC du Val de Drôme en Biovallée</v>
      </c>
      <c r="O25" t="str">
        <f t="shared" si="3"/>
        <v>Province</v>
      </c>
    </row>
    <row r="26" spans="1:15" x14ac:dyDescent="0.25">
      <c r="A26" t="s">
        <v>15</v>
      </c>
      <c r="B26" t="str">
        <f t="shared" si="0"/>
        <v>Drôme</v>
      </c>
      <c r="C26" t="s">
        <v>67</v>
      </c>
      <c r="D26" t="s">
        <v>58</v>
      </c>
      <c r="E26" t="s">
        <v>59</v>
      </c>
      <c r="F26" t="s">
        <v>1093</v>
      </c>
      <c r="G26" t="s">
        <v>21</v>
      </c>
      <c r="H26" s="5">
        <v>10028</v>
      </c>
      <c r="I26" s="1">
        <v>13620</v>
      </c>
      <c r="J26" s="1">
        <v>18429</v>
      </c>
      <c r="K26" s="1">
        <f t="shared" si="1"/>
        <v>836</v>
      </c>
      <c r="L26" s="1">
        <f t="shared" si="1"/>
        <v>1135</v>
      </c>
      <c r="M26" s="1">
        <f t="shared" si="1"/>
        <v>1536</v>
      </c>
      <c r="N26" t="str">
        <f t="shared" si="2"/>
        <v>AUVERGNE-RHÔNE-ALPES|26 - Drôme|CC Porte de Dromardèche</v>
      </c>
      <c r="O26" t="str">
        <f t="shared" si="3"/>
        <v>Province</v>
      </c>
    </row>
    <row r="27" spans="1:15" x14ac:dyDescent="0.25">
      <c r="A27" t="s">
        <v>15</v>
      </c>
      <c r="B27" t="str">
        <f t="shared" si="0"/>
        <v>Isère</v>
      </c>
      <c r="C27" t="s">
        <v>75</v>
      </c>
      <c r="D27" t="s">
        <v>76</v>
      </c>
      <c r="E27" t="s">
        <v>77</v>
      </c>
      <c r="F27" t="s">
        <v>1093</v>
      </c>
      <c r="G27" t="s">
        <v>21</v>
      </c>
      <c r="H27" s="5">
        <v>11515</v>
      </c>
      <c r="I27" s="1">
        <v>15111</v>
      </c>
      <c r="J27" s="1">
        <v>20169</v>
      </c>
      <c r="K27" s="1">
        <f t="shared" si="1"/>
        <v>960</v>
      </c>
      <c r="L27" s="1">
        <f t="shared" si="1"/>
        <v>1259</v>
      </c>
      <c r="M27" s="1">
        <f t="shared" si="1"/>
        <v>1681</v>
      </c>
      <c r="N27" t="str">
        <f t="shared" si="2"/>
        <v>AUVERGNE-RHÔNE-ALPES|38 - Isère|CA du Pays Voironnais</v>
      </c>
      <c r="O27" t="str">
        <f t="shared" si="3"/>
        <v>Province</v>
      </c>
    </row>
    <row r="28" spans="1:15" x14ac:dyDescent="0.25">
      <c r="A28" t="s">
        <v>15</v>
      </c>
      <c r="B28" t="str">
        <f t="shared" si="0"/>
        <v>Isère</v>
      </c>
      <c r="C28" t="s">
        <v>75</v>
      </c>
      <c r="D28" t="s">
        <v>78</v>
      </c>
      <c r="E28" t="s">
        <v>79</v>
      </c>
      <c r="F28" t="s">
        <v>1093</v>
      </c>
      <c r="G28" t="s">
        <v>21</v>
      </c>
      <c r="H28" s="5">
        <v>10865</v>
      </c>
      <c r="I28" s="1">
        <v>15125</v>
      </c>
      <c r="J28" s="1">
        <v>20320</v>
      </c>
      <c r="K28" s="1">
        <f t="shared" si="1"/>
        <v>905</v>
      </c>
      <c r="L28" s="1">
        <f t="shared" si="1"/>
        <v>1260</v>
      </c>
      <c r="M28" s="1">
        <f t="shared" si="1"/>
        <v>1693</v>
      </c>
      <c r="N28" t="str">
        <f t="shared" si="2"/>
        <v>AUVERGNE-RHÔNE-ALPES|38 - Isère|CA Porte de l'Isère (CAPI)</v>
      </c>
      <c r="O28" t="str">
        <f t="shared" si="3"/>
        <v>Province</v>
      </c>
    </row>
    <row r="29" spans="1:15" x14ac:dyDescent="0.25">
      <c r="A29" t="s">
        <v>15</v>
      </c>
      <c r="B29" t="str">
        <f t="shared" si="0"/>
        <v>Isère</v>
      </c>
      <c r="C29" t="s">
        <v>75</v>
      </c>
      <c r="D29" t="s">
        <v>80</v>
      </c>
      <c r="E29" t="s">
        <v>81</v>
      </c>
      <c r="F29" t="s">
        <v>1093</v>
      </c>
      <c r="G29" t="s">
        <v>21</v>
      </c>
      <c r="H29" s="5">
        <v>10834</v>
      </c>
      <c r="I29" s="1">
        <v>14643</v>
      </c>
      <c r="J29" s="1">
        <v>19597</v>
      </c>
      <c r="K29" s="1">
        <f t="shared" si="1"/>
        <v>903</v>
      </c>
      <c r="L29" s="1">
        <f t="shared" si="1"/>
        <v>1220</v>
      </c>
      <c r="M29" s="1">
        <f t="shared" si="1"/>
        <v>1633</v>
      </c>
      <c r="N29" t="str">
        <f t="shared" si="2"/>
        <v>AUVERGNE-RHÔNE-ALPES|38 - Isère|CA Vienne Condrieu</v>
      </c>
      <c r="O29" t="str">
        <f t="shared" si="3"/>
        <v>Province</v>
      </c>
    </row>
    <row r="30" spans="1:15" x14ac:dyDescent="0.25">
      <c r="A30" t="s">
        <v>15</v>
      </c>
      <c r="B30" t="str">
        <f t="shared" si="0"/>
        <v>Isère</v>
      </c>
      <c r="C30" t="s">
        <v>75</v>
      </c>
      <c r="D30" t="s">
        <v>82</v>
      </c>
      <c r="E30" t="s">
        <v>83</v>
      </c>
      <c r="F30" t="s">
        <v>1093</v>
      </c>
      <c r="G30" t="s">
        <v>21</v>
      </c>
      <c r="H30" s="5">
        <v>10343</v>
      </c>
      <c r="I30" s="1">
        <v>14148</v>
      </c>
      <c r="J30" s="1">
        <v>19200</v>
      </c>
      <c r="K30" s="1">
        <f t="shared" si="1"/>
        <v>862</v>
      </c>
      <c r="L30" s="1">
        <f t="shared" si="1"/>
        <v>1179</v>
      </c>
      <c r="M30" s="1">
        <f t="shared" si="1"/>
        <v>1600</v>
      </c>
      <c r="N30" t="str">
        <f t="shared" si="2"/>
        <v>AUVERGNE-RHÔNE-ALPES|38 - Isère|CC Entre Bièvre et Rhône</v>
      </c>
      <c r="O30" t="str">
        <f t="shared" si="3"/>
        <v>Province</v>
      </c>
    </row>
    <row r="31" spans="1:15" x14ac:dyDescent="0.25">
      <c r="A31" t="s">
        <v>15</v>
      </c>
      <c r="B31" t="str">
        <f t="shared" si="0"/>
        <v>Isère</v>
      </c>
      <c r="C31" t="s">
        <v>75</v>
      </c>
      <c r="D31" t="s">
        <v>84</v>
      </c>
      <c r="E31" t="s">
        <v>85</v>
      </c>
      <c r="F31" t="s">
        <v>1093</v>
      </c>
      <c r="G31" t="s">
        <v>21</v>
      </c>
      <c r="H31" s="5">
        <v>10847</v>
      </c>
      <c r="I31" s="1">
        <v>14904</v>
      </c>
      <c r="J31" s="1">
        <v>20400</v>
      </c>
      <c r="K31" s="1">
        <f t="shared" si="1"/>
        <v>904</v>
      </c>
      <c r="L31" s="1">
        <f t="shared" si="1"/>
        <v>1242</v>
      </c>
      <c r="M31" s="1">
        <f t="shared" si="1"/>
        <v>1700</v>
      </c>
      <c r="N31" t="str">
        <f t="shared" si="2"/>
        <v>AUVERGNE-RHÔNE-ALPES|38 - Isère|Grenoble-Alpes-Métropole</v>
      </c>
      <c r="O31" t="str">
        <f t="shared" si="3"/>
        <v>Province</v>
      </c>
    </row>
    <row r="32" spans="1:15" x14ac:dyDescent="0.25">
      <c r="A32" t="s">
        <v>15</v>
      </c>
      <c r="B32" t="str">
        <f t="shared" si="0"/>
        <v>Loire</v>
      </c>
      <c r="C32" t="s">
        <v>87</v>
      </c>
      <c r="D32" t="s">
        <v>88</v>
      </c>
      <c r="E32" t="s">
        <v>89</v>
      </c>
      <c r="F32" t="s">
        <v>1093</v>
      </c>
      <c r="G32" t="s">
        <v>21</v>
      </c>
      <c r="H32" s="5">
        <v>8831</v>
      </c>
      <c r="I32" s="1">
        <v>12811</v>
      </c>
      <c r="J32" s="1">
        <v>18376</v>
      </c>
      <c r="K32" s="1">
        <f t="shared" si="1"/>
        <v>736</v>
      </c>
      <c r="L32" s="1">
        <f t="shared" si="1"/>
        <v>1068</v>
      </c>
      <c r="M32" s="1">
        <f t="shared" si="1"/>
        <v>1531</v>
      </c>
      <c r="N32" t="str">
        <f t="shared" si="2"/>
        <v>AUVERGNE-RHÔNE-ALPES|42 - Loire|CA Roannais Agglomération</v>
      </c>
      <c r="O32" t="str">
        <f t="shared" si="3"/>
        <v>Province</v>
      </c>
    </row>
    <row r="33" spans="1:15" x14ac:dyDescent="0.25">
      <c r="A33" t="s">
        <v>15</v>
      </c>
      <c r="B33" t="str">
        <f t="shared" si="0"/>
        <v>Loire</v>
      </c>
      <c r="C33" t="s">
        <v>87</v>
      </c>
      <c r="D33" t="s">
        <v>90</v>
      </c>
      <c r="E33" t="s">
        <v>91</v>
      </c>
      <c r="F33" t="s">
        <v>1093</v>
      </c>
      <c r="G33" t="s">
        <v>21</v>
      </c>
      <c r="H33" s="5">
        <v>11112</v>
      </c>
      <c r="I33" s="1">
        <v>14764</v>
      </c>
      <c r="J33" s="1">
        <v>19983</v>
      </c>
      <c r="K33" s="1">
        <f t="shared" si="1"/>
        <v>926</v>
      </c>
      <c r="L33" s="1">
        <f t="shared" si="1"/>
        <v>1230</v>
      </c>
      <c r="M33" s="1">
        <f t="shared" si="1"/>
        <v>1665</v>
      </c>
      <c r="N33" t="str">
        <f t="shared" si="2"/>
        <v>AUVERGNE-RHÔNE-ALPES|42 - Loire|Loire Forez Agglomération (LFA)</v>
      </c>
      <c r="O33" t="str">
        <f t="shared" si="3"/>
        <v>Province</v>
      </c>
    </row>
    <row r="34" spans="1:15" x14ac:dyDescent="0.25">
      <c r="A34" t="s">
        <v>15</v>
      </c>
      <c r="B34" t="str">
        <f t="shared" si="0"/>
        <v>Loire</v>
      </c>
      <c r="C34" t="s">
        <v>87</v>
      </c>
      <c r="D34" t="s">
        <v>92</v>
      </c>
      <c r="E34" t="s">
        <v>93</v>
      </c>
      <c r="F34" t="s">
        <v>1093</v>
      </c>
      <c r="G34" t="s">
        <v>21</v>
      </c>
      <c r="H34" s="5">
        <v>8431</v>
      </c>
      <c r="I34" s="1">
        <v>12488</v>
      </c>
      <c r="J34" s="1">
        <v>17676</v>
      </c>
      <c r="K34" s="1">
        <f t="shared" si="1"/>
        <v>703</v>
      </c>
      <c r="L34" s="1">
        <f t="shared" si="1"/>
        <v>1041</v>
      </c>
      <c r="M34" s="1">
        <f t="shared" si="1"/>
        <v>1473</v>
      </c>
      <c r="N34" t="str">
        <f t="shared" si="2"/>
        <v>AUVERGNE-RHÔNE-ALPES|42 - Loire|Saint-Étienne Métropole</v>
      </c>
      <c r="O34" t="str">
        <f t="shared" si="3"/>
        <v>Province</v>
      </c>
    </row>
    <row r="35" spans="1:15" x14ac:dyDescent="0.25">
      <c r="A35" t="s">
        <v>15</v>
      </c>
      <c r="B35" t="str">
        <f t="shared" si="0"/>
        <v>Haute-Loire</v>
      </c>
      <c r="C35" t="s">
        <v>95</v>
      </c>
      <c r="D35" t="s">
        <v>96</v>
      </c>
      <c r="E35" t="s">
        <v>97</v>
      </c>
      <c r="F35" t="s">
        <v>1093</v>
      </c>
      <c r="G35" t="s">
        <v>21</v>
      </c>
      <c r="H35" s="5">
        <v>9600</v>
      </c>
      <c r="I35" s="1">
        <v>12720</v>
      </c>
      <c r="J35" s="1">
        <v>17400</v>
      </c>
      <c r="K35" s="1">
        <f t="shared" si="1"/>
        <v>800</v>
      </c>
      <c r="L35" s="1">
        <f t="shared" si="1"/>
        <v>1060</v>
      </c>
      <c r="M35" s="1">
        <f t="shared" si="1"/>
        <v>1450</v>
      </c>
      <c r="N35" t="str">
        <f t="shared" si="2"/>
        <v>AUVERGNE-RHÔNE-ALPES|43 - Haute-Loire|CA du Puy-en-Velay</v>
      </c>
      <c r="O35" t="str">
        <f t="shared" si="3"/>
        <v>Province</v>
      </c>
    </row>
    <row r="36" spans="1:15" x14ac:dyDescent="0.25">
      <c r="A36" t="s">
        <v>15</v>
      </c>
      <c r="B36" t="str">
        <f t="shared" si="0"/>
        <v>Puy-de-Dôme</v>
      </c>
      <c r="C36" t="s">
        <v>99</v>
      </c>
      <c r="D36" t="s">
        <v>100</v>
      </c>
      <c r="E36" t="s">
        <v>101</v>
      </c>
      <c r="F36" t="s">
        <v>1093</v>
      </c>
      <c r="G36" t="s">
        <v>21</v>
      </c>
      <c r="H36" s="5">
        <v>11096</v>
      </c>
      <c r="I36" s="1">
        <v>14520</v>
      </c>
      <c r="J36" s="1">
        <v>19647</v>
      </c>
      <c r="K36" s="1">
        <f t="shared" si="1"/>
        <v>925</v>
      </c>
      <c r="L36" s="1">
        <f t="shared" si="1"/>
        <v>1210</v>
      </c>
      <c r="M36" s="1">
        <f t="shared" si="1"/>
        <v>1637</v>
      </c>
      <c r="N36" t="str">
        <f t="shared" si="2"/>
        <v>AUVERGNE-RHÔNE-ALPES|63 - Puy-de-Dôme|CA Agglo Pays d'Issoire</v>
      </c>
      <c r="O36" t="str">
        <f t="shared" si="3"/>
        <v>Province</v>
      </c>
    </row>
    <row r="37" spans="1:15" x14ac:dyDescent="0.25">
      <c r="A37" t="s">
        <v>15</v>
      </c>
      <c r="B37" t="str">
        <f t="shared" si="0"/>
        <v>Puy-de-Dôme</v>
      </c>
      <c r="C37" t="s">
        <v>99</v>
      </c>
      <c r="D37" t="s">
        <v>102</v>
      </c>
      <c r="E37" t="s">
        <v>103</v>
      </c>
      <c r="F37" t="s">
        <v>1093</v>
      </c>
      <c r="G37" t="s">
        <v>21</v>
      </c>
      <c r="H37" s="5">
        <v>11510</v>
      </c>
      <c r="I37" s="1">
        <v>15600</v>
      </c>
      <c r="J37" s="1">
        <v>20094</v>
      </c>
      <c r="K37" s="1">
        <f t="shared" si="1"/>
        <v>959</v>
      </c>
      <c r="L37" s="1">
        <f t="shared" si="1"/>
        <v>1300</v>
      </c>
      <c r="M37" s="1">
        <f t="shared" si="1"/>
        <v>1675</v>
      </c>
      <c r="N37" t="str">
        <f t="shared" si="2"/>
        <v>AUVERGNE-RHÔNE-ALPES|63 - Puy-de-Dôme|CA Riom Limagne et Volcans</v>
      </c>
      <c r="O37" t="str">
        <f t="shared" si="3"/>
        <v>Province</v>
      </c>
    </row>
    <row r="38" spans="1:15" x14ac:dyDescent="0.25">
      <c r="A38" t="s">
        <v>15</v>
      </c>
      <c r="B38" t="str">
        <f t="shared" si="0"/>
        <v>Puy-de-Dôme</v>
      </c>
      <c r="C38" t="s">
        <v>99</v>
      </c>
      <c r="D38" t="s">
        <v>104</v>
      </c>
      <c r="E38" t="s">
        <v>105</v>
      </c>
      <c r="F38" t="s">
        <v>1093</v>
      </c>
      <c r="G38" t="s">
        <v>21</v>
      </c>
      <c r="H38" s="5">
        <v>9167</v>
      </c>
      <c r="I38" s="1">
        <v>12780</v>
      </c>
      <c r="J38" s="1">
        <v>17346</v>
      </c>
      <c r="K38" s="1">
        <f t="shared" si="1"/>
        <v>764</v>
      </c>
      <c r="L38" s="1">
        <f t="shared" si="1"/>
        <v>1065</v>
      </c>
      <c r="M38" s="1">
        <f t="shared" si="1"/>
        <v>1446</v>
      </c>
      <c r="N38" t="str">
        <f t="shared" si="2"/>
        <v>AUVERGNE-RHÔNE-ALPES|63 - Puy-de-Dôme|CC Thiers Dore et Montagne</v>
      </c>
      <c r="O38" t="str">
        <f t="shared" si="3"/>
        <v>Province</v>
      </c>
    </row>
    <row r="39" spans="1:15" x14ac:dyDescent="0.25">
      <c r="A39" t="s">
        <v>15</v>
      </c>
      <c r="B39" t="str">
        <f t="shared" si="0"/>
        <v>Puy-de-Dôme</v>
      </c>
      <c r="C39" t="s">
        <v>99</v>
      </c>
      <c r="D39" t="s">
        <v>106</v>
      </c>
      <c r="E39" t="s">
        <v>107</v>
      </c>
      <c r="F39" t="s">
        <v>1093</v>
      </c>
      <c r="G39" t="s">
        <v>21</v>
      </c>
      <c r="H39" s="5">
        <v>10560</v>
      </c>
      <c r="I39" s="1">
        <v>14769</v>
      </c>
      <c r="J39" s="1">
        <v>19823</v>
      </c>
      <c r="K39" s="1">
        <f t="shared" si="1"/>
        <v>880</v>
      </c>
      <c r="L39" s="1">
        <f t="shared" si="1"/>
        <v>1231</v>
      </c>
      <c r="M39" s="1">
        <f t="shared" si="1"/>
        <v>1652</v>
      </c>
      <c r="N39" t="str">
        <f t="shared" si="2"/>
        <v>AUVERGNE-RHÔNE-ALPES|63 - Puy-de-Dôme|Clermont Auvergne Métropole</v>
      </c>
      <c r="O39" t="str">
        <f t="shared" si="3"/>
        <v>Province</v>
      </c>
    </row>
    <row r="40" spans="1:15" x14ac:dyDescent="0.25">
      <c r="A40" t="s">
        <v>15</v>
      </c>
      <c r="B40" t="str">
        <f t="shared" si="0"/>
        <v>Rhône</v>
      </c>
      <c r="C40" t="s">
        <v>109</v>
      </c>
      <c r="D40" t="s">
        <v>110</v>
      </c>
      <c r="E40" t="s">
        <v>111</v>
      </c>
      <c r="F40" t="s">
        <v>1093</v>
      </c>
      <c r="G40" t="s">
        <v>21</v>
      </c>
      <c r="H40" s="5">
        <v>10678</v>
      </c>
      <c r="I40" s="1">
        <v>14340</v>
      </c>
      <c r="J40" s="1">
        <v>19659</v>
      </c>
      <c r="K40" s="1">
        <f t="shared" si="1"/>
        <v>890</v>
      </c>
      <c r="L40" s="1">
        <f t="shared" si="1"/>
        <v>1195</v>
      </c>
      <c r="M40" s="1">
        <f t="shared" si="1"/>
        <v>1638</v>
      </c>
      <c r="N40" t="str">
        <f t="shared" si="2"/>
        <v>AUVERGNE-RHÔNE-ALPES|69 - Rhône|CA de l'Ouest Rhodanien</v>
      </c>
      <c r="O40" t="str">
        <f t="shared" si="3"/>
        <v>Province</v>
      </c>
    </row>
    <row r="41" spans="1:15" x14ac:dyDescent="0.25">
      <c r="A41" t="s">
        <v>15</v>
      </c>
      <c r="B41" t="str">
        <f t="shared" si="0"/>
        <v>Rhône</v>
      </c>
      <c r="C41" t="s">
        <v>109</v>
      </c>
      <c r="D41" t="s">
        <v>80</v>
      </c>
      <c r="E41" t="s">
        <v>81</v>
      </c>
      <c r="F41" t="s">
        <v>1093</v>
      </c>
      <c r="G41" t="s">
        <v>21</v>
      </c>
      <c r="H41" s="5">
        <v>10834</v>
      </c>
      <c r="I41" s="1">
        <v>14643</v>
      </c>
      <c r="J41" s="1">
        <v>19597</v>
      </c>
      <c r="K41" s="1">
        <f t="shared" si="1"/>
        <v>903</v>
      </c>
      <c r="L41" s="1">
        <f t="shared" si="1"/>
        <v>1220</v>
      </c>
      <c r="M41" s="1">
        <f t="shared" si="1"/>
        <v>1633</v>
      </c>
      <c r="N41" t="str">
        <f t="shared" si="2"/>
        <v>AUVERGNE-RHÔNE-ALPES|69 - Rhône|CA Vienne Condrieu</v>
      </c>
      <c r="O41" t="str">
        <f t="shared" si="3"/>
        <v>Province</v>
      </c>
    </row>
    <row r="42" spans="1:15" x14ac:dyDescent="0.25">
      <c r="A42" t="s">
        <v>15</v>
      </c>
      <c r="B42" t="str">
        <f t="shared" si="0"/>
        <v>Rhône</v>
      </c>
      <c r="C42" t="s">
        <v>109</v>
      </c>
      <c r="D42" t="s">
        <v>28</v>
      </c>
      <c r="E42" t="s">
        <v>29</v>
      </c>
      <c r="F42" t="s">
        <v>1093</v>
      </c>
      <c r="G42" t="s">
        <v>21</v>
      </c>
      <c r="H42" s="5">
        <v>10074</v>
      </c>
      <c r="I42" s="1">
        <v>14346</v>
      </c>
      <c r="J42" s="1">
        <v>19453</v>
      </c>
      <c r="K42" s="1">
        <f t="shared" si="1"/>
        <v>840</v>
      </c>
      <c r="L42" s="1">
        <f t="shared" si="1"/>
        <v>1196</v>
      </c>
      <c r="M42" s="1">
        <f t="shared" si="1"/>
        <v>1621</v>
      </c>
      <c r="N42" t="str">
        <f t="shared" si="2"/>
        <v>AUVERGNE-RHÔNE-ALPES|69 - Rhône|CA Villefranche Beaujolais Saône</v>
      </c>
      <c r="O42" t="str">
        <f t="shared" si="3"/>
        <v>Province</v>
      </c>
    </row>
    <row r="43" spans="1:15" x14ac:dyDescent="0.25">
      <c r="A43" t="s">
        <v>15</v>
      </c>
      <c r="B43" t="str">
        <f t="shared" si="0"/>
        <v>Rhône</v>
      </c>
      <c r="C43" t="s">
        <v>109</v>
      </c>
      <c r="D43" t="s">
        <v>112</v>
      </c>
      <c r="E43" t="s">
        <v>113</v>
      </c>
      <c r="F43" t="s">
        <v>1093</v>
      </c>
      <c r="G43" t="s">
        <v>21</v>
      </c>
      <c r="H43" s="5">
        <v>12396</v>
      </c>
      <c r="I43" s="1">
        <v>17400</v>
      </c>
      <c r="J43" s="1">
        <v>21768</v>
      </c>
      <c r="K43" s="1">
        <f t="shared" si="1"/>
        <v>1033</v>
      </c>
      <c r="L43" s="1">
        <f t="shared" si="1"/>
        <v>1450</v>
      </c>
      <c r="M43" s="1">
        <f t="shared" si="1"/>
        <v>1814</v>
      </c>
      <c r="N43" t="str">
        <f t="shared" si="2"/>
        <v>AUVERGNE-RHÔNE-ALPES|69 - Rhône|CC de la Vallée du Garon (CCVG)</v>
      </c>
      <c r="O43" t="str">
        <f t="shared" si="3"/>
        <v>Province</v>
      </c>
    </row>
    <row r="44" spans="1:15" x14ac:dyDescent="0.25">
      <c r="A44" t="s">
        <v>15</v>
      </c>
      <c r="B44" t="str">
        <f t="shared" si="0"/>
        <v>Rhône</v>
      </c>
      <c r="C44" t="s">
        <v>109</v>
      </c>
      <c r="D44" t="s">
        <v>114</v>
      </c>
      <c r="E44" t="s">
        <v>115</v>
      </c>
      <c r="F44" t="s">
        <v>1093</v>
      </c>
      <c r="G44" t="s">
        <v>21</v>
      </c>
      <c r="H44" s="5">
        <v>12645</v>
      </c>
      <c r="I44" s="1">
        <v>17513</v>
      </c>
      <c r="J44" s="1">
        <v>22200</v>
      </c>
      <c r="K44" s="1">
        <f t="shared" si="1"/>
        <v>1054</v>
      </c>
      <c r="L44" s="1">
        <f t="shared" si="1"/>
        <v>1459</v>
      </c>
      <c r="M44" s="1">
        <f t="shared" si="1"/>
        <v>1850</v>
      </c>
      <c r="N44" t="str">
        <f t="shared" si="2"/>
        <v>AUVERGNE-RHÔNE-ALPES|69 - Rhône|CC de l'Est Lyonnais (CCEL)</v>
      </c>
      <c r="O44" t="str">
        <f t="shared" si="3"/>
        <v>Province</v>
      </c>
    </row>
    <row r="45" spans="1:15" x14ac:dyDescent="0.25">
      <c r="A45" t="s">
        <v>15</v>
      </c>
      <c r="B45" t="str">
        <f t="shared" si="0"/>
        <v>Rhône</v>
      </c>
      <c r="C45" t="s">
        <v>109</v>
      </c>
      <c r="D45" t="s">
        <v>116</v>
      </c>
      <c r="E45" t="s">
        <v>117</v>
      </c>
      <c r="F45" t="s">
        <v>1093</v>
      </c>
      <c r="G45" t="s">
        <v>21</v>
      </c>
      <c r="H45" s="5">
        <v>11280</v>
      </c>
      <c r="I45" s="1">
        <v>15304</v>
      </c>
      <c r="J45" s="1">
        <v>20167</v>
      </c>
      <c r="K45" s="1">
        <f t="shared" si="1"/>
        <v>940</v>
      </c>
      <c r="L45" s="1">
        <f t="shared" si="1"/>
        <v>1275</v>
      </c>
      <c r="M45" s="1">
        <f t="shared" si="1"/>
        <v>1681</v>
      </c>
      <c r="N45" t="str">
        <f t="shared" si="2"/>
        <v>AUVERGNE-RHÔNE-ALPES|69 - Rhône|CC Saône-Beaujolais</v>
      </c>
      <c r="O45" t="str">
        <f t="shared" si="3"/>
        <v>Province</v>
      </c>
    </row>
    <row r="46" spans="1:15" x14ac:dyDescent="0.25">
      <c r="A46" t="s">
        <v>15</v>
      </c>
      <c r="B46" t="str">
        <f t="shared" si="0"/>
        <v>Rhône</v>
      </c>
      <c r="C46" t="s">
        <v>109</v>
      </c>
      <c r="D46" t="s">
        <v>118</v>
      </c>
      <c r="E46" t="s">
        <v>119</v>
      </c>
      <c r="F46" t="s">
        <v>1093</v>
      </c>
      <c r="G46" t="s">
        <v>21</v>
      </c>
      <c r="H46" s="5">
        <v>10800</v>
      </c>
      <c r="I46" s="1">
        <v>15600</v>
      </c>
      <c r="J46" s="1">
        <v>21083</v>
      </c>
      <c r="K46" s="1">
        <f t="shared" si="1"/>
        <v>900</v>
      </c>
      <c r="L46" s="1">
        <f t="shared" si="1"/>
        <v>1300</v>
      </c>
      <c r="M46" s="1">
        <f t="shared" si="1"/>
        <v>1757</v>
      </c>
      <c r="N46" t="str">
        <f t="shared" si="2"/>
        <v>AUVERGNE-RHÔNE-ALPES|69 - Rhône|Métropole de Lyon</v>
      </c>
      <c r="O46" t="str">
        <f t="shared" si="3"/>
        <v>Province</v>
      </c>
    </row>
    <row r="47" spans="1:15" x14ac:dyDescent="0.25">
      <c r="A47" t="s">
        <v>15</v>
      </c>
      <c r="B47" t="str">
        <f t="shared" si="0"/>
        <v>Savoie</v>
      </c>
      <c r="C47" t="s">
        <v>121</v>
      </c>
      <c r="D47" t="s">
        <v>122</v>
      </c>
      <c r="E47" t="s">
        <v>123</v>
      </c>
      <c r="F47" t="s">
        <v>1093</v>
      </c>
      <c r="G47" t="s">
        <v>21</v>
      </c>
      <c r="H47" s="5">
        <v>11618</v>
      </c>
      <c r="I47" s="1">
        <v>16056</v>
      </c>
      <c r="J47" s="1">
        <v>20721</v>
      </c>
      <c r="K47" s="1">
        <f t="shared" si="1"/>
        <v>968</v>
      </c>
      <c r="L47" s="1">
        <f t="shared" si="1"/>
        <v>1338</v>
      </c>
      <c r="M47" s="1">
        <f t="shared" si="1"/>
        <v>1727</v>
      </c>
      <c r="N47" t="str">
        <f t="shared" si="2"/>
        <v>AUVERGNE-RHÔNE-ALPES|73 - Savoie|CA Arlysère</v>
      </c>
      <c r="O47" t="str">
        <f t="shared" si="3"/>
        <v>Province</v>
      </c>
    </row>
    <row r="48" spans="1:15" x14ac:dyDescent="0.25">
      <c r="A48" t="s">
        <v>15</v>
      </c>
      <c r="B48" t="str">
        <f t="shared" si="0"/>
        <v>Savoie</v>
      </c>
      <c r="C48" t="s">
        <v>121</v>
      </c>
      <c r="D48" t="s">
        <v>124</v>
      </c>
      <c r="E48" t="s">
        <v>125</v>
      </c>
      <c r="F48" t="s">
        <v>1093</v>
      </c>
      <c r="G48" t="s">
        <v>21</v>
      </c>
      <c r="H48" s="5">
        <v>11352</v>
      </c>
      <c r="I48" s="1">
        <v>15684</v>
      </c>
      <c r="J48" s="1">
        <v>20856</v>
      </c>
      <c r="K48" s="1">
        <f t="shared" si="1"/>
        <v>946</v>
      </c>
      <c r="L48" s="1">
        <f t="shared" si="1"/>
        <v>1307</v>
      </c>
      <c r="M48" s="1">
        <f t="shared" si="1"/>
        <v>1738</v>
      </c>
      <c r="N48" t="str">
        <f t="shared" si="2"/>
        <v>AUVERGNE-RHÔNE-ALPES|73 - Savoie|CA du Grand Chambéry</v>
      </c>
      <c r="O48" t="str">
        <f t="shared" si="3"/>
        <v>Province</v>
      </c>
    </row>
    <row r="49" spans="1:15" x14ac:dyDescent="0.25">
      <c r="A49" t="s">
        <v>15</v>
      </c>
      <c r="B49" t="str">
        <f t="shared" si="0"/>
        <v>Savoie</v>
      </c>
      <c r="C49" t="s">
        <v>121</v>
      </c>
      <c r="D49" t="s">
        <v>126</v>
      </c>
      <c r="E49" t="s">
        <v>127</v>
      </c>
      <c r="F49" t="s">
        <v>1093</v>
      </c>
      <c r="G49" t="s">
        <v>21</v>
      </c>
      <c r="H49" s="5">
        <v>12096</v>
      </c>
      <c r="I49" s="1">
        <v>16704</v>
      </c>
      <c r="J49" s="1">
        <v>21600</v>
      </c>
      <c r="K49" s="1">
        <f t="shared" si="1"/>
        <v>1008</v>
      </c>
      <c r="L49" s="1">
        <f t="shared" si="1"/>
        <v>1392</v>
      </c>
      <c r="M49" s="1">
        <f t="shared" si="1"/>
        <v>1800</v>
      </c>
      <c r="N49" t="str">
        <f t="shared" si="2"/>
        <v>AUVERGNE-RHÔNE-ALPES|73 - Savoie|CA Grand Lac</v>
      </c>
      <c r="O49" t="str">
        <f t="shared" si="3"/>
        <v>Province</v>
      </c>
    </row>
    <row r="50" spans="1:15" x14ac:dyDescent="0.25">
      <c r="A50" t="s">
        <v>15</v>
      </c>
      <c r="B50" t="str">
        <f t="shared" si="0"/>
        <v>Haute-Savoie</v>
      </c>
      <c r="C50" t="s">
        <v>129</v>
      </c>
      <c r="D50" t="s">
        <v>130</v>
      </c>
      <c r="E50" t="s">
        <v>131</v>
      </c>
      <c r="F50" t="s">
        <v>1093</v>
      </c>
      <c r="G50" t="s">
        <v>21</v>
      </c>
      <c r="H50" s="5">
        <v>10686</v>
      </c>
      <c r="I50" s="1">
        <v>15874</v>
      </c>
      <c r="J50" s="1">
        <v>22105</v>
      </c>
      <c r="K50" s="1">
        <f t="shared" si="1"/>
        <v>891</v>
      </c>
      <c r="L50" s="1">
        <f t="shared" si="1"/>
        <v>1323</v>
      </c>
      <c r="M50" s="1">
        <f t="shared" si="1"/>
        <v>1842</v>
      </c>
      <c r="N50" t="str">
        <f t="shared" si="2"/>
        <v>AUVERGNE-RHÔNE-ALPES|74 - Haute-Savoie|CA Annemasse-Les Voirons-Agglomération</v>
      </c>
      <c r="O50" t="str">
        <f t="shared" si="3"/>
        <v>Province</v>
      </c>
    </row>
    <row r="51" spans="1:15" x14ac:dyDescent="0.25">
      <c r="A51" t="s">
        <v>15</v>
      </c>
      <c r="B51" t="str">
        <f t="shared" si="0"/>
        <v>Haute-Savoie</v>
      </c>
      <c r="C51" t="s">
        <v>129</v>
      </c>
      <c r="D51" t="s">
        <v>132</v>
      </c>
      <c r="E51" t="s">
        <v>133</v>
      </c>
      <c r="F51" t="s">
        <v>1093</v>
      </c>
      <c r="G51" t="s">
        <v>21</v>
      </c>
      <c r="H51" s="5">
        <v>12378</v>
      </c>
      <c r="I51" s="1">
        <v>17541</v>
      </c>
      <c r="J51" s="1">
        <v>22440</v>
      </c>
      <c r="K51" s="1">
        <f t="shared" si="1"/>
        <v>1032</v>
      </c>
      <c r="L51" s="1">
        <f t="shared" si="1"/>
        <v>1462</v>
      </c>
      <c r="M51" s="1">
        <f t="shared" si="1"/>
        <v>1870</v>
      </c>
      <c r="N51" t="str">
        <f t="shared" si="2"/>
        <v>AUVERGNE-RHÔNE-ALPES|74 - Haute-Savoie|CA du Grand Annecy</v>
      </c>
      <c r="O51" t="str">
        <f t="shared" si="3"/>
        <v>Province</v>
      </c>
    </row>
    <row r="52" spans="1:15" x14ac:dyDescent="0.25">
      <c r="A52" t="s">
        <v>15</v>
      </c>
      <c r="B52" t="str">
        <f t="shared" si="0"/>
        <v>Haute-Savoie</v>
      </c>
      <c r="C52" t="s">
        <v>129</v>
      </c>
      <c r="D52" t="s">
        <v>134</v>
      </c>
      <c r="E52" t="s">
        <v>135</v>
      </c>
      <c r="F52" t="s">
        <v>1093</v>
      </c>
      <c r="G52" t="s">
        <v>21</v>
      </c>
      <c r="H52" s="5">
        <v>12000</v>
      </c>
      <c r="I52" s="1">
        <v>16872</v>
      </c>
      <c r="J52" s="1">
        <v>22200</v>
      </c>
      <c r="K52" s="1">
        <f t="shared" si="1"/>
        <v>1000</v>
      </c>
      <c r="L52" s="1">
        <f t="shared" si="1"/>
        <v>1406</v>
      </c>
      <c r="M52" s="1">
        <f t="shared" si="1"/>
        <v>1850</v>
      </c>
      <c r="N52" t="str">
        <f t="shared" si="2"/>
        <v>AUVERGNE-RHÔNE-ALPES|74 - Haute-Savoie|CA Thonon Agglomération</v>
      </c>
      <c r="O52" t="str">
        <f t="shared" si="3"/>
        <v>Province</v>
      </c>
    </row>
    <row r="53" spans="1:15" x14ac:dyDescent="0.25">
      <c r="A53" t="s">
        <v>15</v>
      </c>
      <c r="B53" t="str">
        <f t="shared" si="0"/>
        <v>Haute-Savoie</v>
      </c>
      <c r="C53" t="s">
        <v>129</v>
      </c>
      <c r="D53" t="s">
        <v>136</v>
      </c>
      <c r="E53" t="s">
        <v>137</v>
      </c>
      <c r="F53" t="s">
        <v>1093</v>
      </c>
      <c r="G53" t="s">
        <v>21</v>
      </c>
      <c r="H53" s="5">
        <v>12192</v>
      </c>
      <c r="I53" s="1">
        <v>16640</v>
      </c>
      <c r="J53" s="1">
        <v>21391</v>
      </c>
      <c r="K53" s="1">
        <f t="shared" si="1"/>
        <v>1016</v>
      </c>
      <c r="L53" s="1">
        <f t="shared" si="1"/>
        <v>1387</v>
      </c>
      <c r="M53" s="1">
        <f t="shared" si="1"/>
        <v>1783</v>
      </c>
      <c r="N53" t="str">
        <f t="shared" si="2"/>
        <v>AUVERGNE-RHÔNE-ALPES|74 - Haute-Savoie|CC Cluses-Arve et Montagnes</v>
      </c>
      <c r="O53" t="str">
        <f t="shared" si="3"/>
        <v>Province</v>
      </c>
    </row>
    <row r="54" spans="1:15" x14ac:dyDescent="0.25">
      <c r="A54" t="s">
        <v>15</v>
      </c>
      <c r="B54" t="str">
        <f t="shared" si="0"/>
        <v>Haute-Savoie</v>
      </c>
      <c r="C54" t="s">
        <v>129</v>
      </c>
      <c r="D54" t="s">
        <v>138</v>
      </c>
      <c r="E54" t="s">
        <v>139</v>
      </c>
      <c r="F54" t="s">
        <v>1093</v>
      </c>
      <c r="G54" t="s">
        <v>21</v>
      </c>
      <c r="H54" s="5">
        <v>12000</v>
      </c>
      <c r="I54" s="1">
        <v>17768</v>
      </c>
      <c r="J54" s="1">
        <v>23862</v>
      </c>
      <c r="K54" s="1">
        <f t="shared" si="1"/>
        <v>1000</v>
      </c>
      <c r="L54" s="1">
        <f t="shared" si="1"/>
        <v>1481</v>
      </c>
      <c r="M54" s="1">
        <f t="shared" si="1"/>
        <v>1989</v>
      </c>
      <c r="N54" t="str">
        <f t="shared" si="2"/>
        <v>AUVERGNE-RHÔNE-ALPES|74 - Haute-Savoie|CC du Genevois</v>
      </c>
      <c r="O54" t="str">
        <f t="shared" si="3"/>
        <v>Province</v>
      </c>
    </row>
    <row r="55" spans="1:15" x14ac:dyDescent="0.25">
      <c r="A55" t="s">
        <v>15</v>
      </c>
      <c r="B55" t="str">
        <f t="shared" si="0"/>
        <v>Haute-Savoie</v>
      </c>
      <c r="C55" t="s">
        <v>129</v>
      </c>
      <c r="D55" t="s">
        <v>140</v>
      </c>
      <c r="E55" t="s">
        <v>141</v>
      </c>
      <c r="F55" t="s">
        <v>1093</v>
      </c>
      <c r="G55" t="s">
        <v>21</v>
      </c>
      <c r="H55" s="5">
        <v>12857</v>
      </c>
      <c r="I55" s="1">
        <v>18000</v>
      </c>
      <c r="J55" s="1">
        <v>22800</v>
      </c>
      <c r="K55" s="1">
        <f t="shared" si="1"/>
        <v>1071</v>
      </c>
      <c r="L55" s="1">
        <f t="shared" si="1"/>
        <v>1500</v>
      </c>
      <c r="M55" s="1">
        <f t="shared" si="1"/>
        <v>1900</v>
      </c>
      <c r="N55" t="str">
        <f t="shared" si="2"/>
        <v>AUVERGNE-RHÔNE-ALPES|74 - Haute-Savoie|CC Faucigny - Glières</v>
      </c>
      <c r="O55" t="str">
        <f t="shared" si="3"/>
        <v>Province</v>
      </c>
    </row>
    <row r="56" spans="1:15" x14ac:dyDescent="0.25">
      <c r="A56" t="s">
        <v>15</v>
      </c>
      <c r="B56" t="str">
        <f t="shared" si="0"/>
        <v>Haute-Savoie</v>
      </c>
      <c r="C56" t="s">
        <v>129</v>
      </c>
      <c r="D56" t="s">
        <v>142</v>
      </c>
      <c r="E56" t="s">
        <v>143</v>
      </c>
      <c r="F56" t="s">
        <v>1093</v>
      </c>
      <c r="G56" t="s">
        <v>21</v>
      </c>
      <c r="H56" s="5">
        <v>12396</v>
      </c>
      <c r="I56" s="1">
        <v>17424</v>
      </c>
      <c r="J56" s="1">
        <v>21852</v>
      </c>
      <c r="K56" s="1">
        <f t="shared" si="1"/>
        <v>1033</v>
      </c>
      <c r="L56" s="1">
        <f t="shared" si="1"/>
        <v>1452</v>
      </c>
      <c r="M56" s="1">
        <f t="shared" si="1"/>
        <v>1821</v>
      </c>
      <c r="N56" t="str">
        <f t="shared" si="2"/>
        <v>AUVERGNE-RHÔNE-ALPES|74 - Haute-Savoie|CC Pays du Mont-Blanc</v>
      </c>
      <c r="O56" t="str">
        <f t="shared" si="3"/>
        <v>Province</v>
      </c>
    </row>
    <row r="57" spans="1:15" x14ac:dyDescent="0.25">
      <c r="A57" t="s">
        <v>15</v>
      </c>
      <c r="B57" t="str">
        <f t="shared" si="0"/>
        <v>Haute-Savoie</v>
      </c>
      <c r="C57" t="s">
        <v>129</v>
      </c>
      <c r="D57" t="s">
        <v>144</v>
      </c>
      <c r="E57" t="s">
        <v>145</v>
      </c>
      <c r="F57" t="s">
        <v>1093</v>
      </c>
      <c r="G57" t="s">
        <v>21</v>
      </c>
      <c r="H57" s="5">
        <v>12485</v>
      </c>
      <c r="I57" s="1">
        <v>16393</v>
      </c>
      <c r="J57" s="1">
        <v>21444</v>
      </c>
      <c r="K57" s="1">
        <f t="shared" si="1"/>
        <v>1040</v>
      </c>
      <c r="L57" s="1">
        <f t="shared" si="1"/>
        <v>1366</v>
      </c>
      <c r="M57" s="1">
        <f t="shared" si="1"/>
        <v>1787</v>
      </c>
      <c r="N57" t="str">
        <f t="shared" si="2"/>
        <v>AUVERGNE-RHÔNE-ALPES|74 - Haute-Savoie|CC Rumilly Terre de Savoie</v>
      </c>
      <c r="O57" t="str">
        <f t="shared" si="3"/>
        <v>Province</v>
      </c>
    </row>
    <row r="58" spans="1:15" x14ac:dyDescent="0.25">
      <c r="A58" t="s">
        <v>146</v>
      </c>
      <c r="B58" t="str">
        <f t="shared" si="0"/>
        <v>Côte-d'Or</v>
      </c>
      <c r="C58" t="s">
        <v>148</v>
      </c>
      <c r="D58" t="s">
        <v>149</v>
      </c>
      <c r="E58" t="s">
        <v>150</v>
      </c>
      <c r="F58" t="s">
        <v>1093</v>
      </c>
      <c r="G58" t="s">
        <v>21</v>
      </c>
      <c r="H58" s="5">
        <v>11490</v>
      </c>
      <c r="I58" s="1">
        <v>14934</v>
      </c>
      <c r="J58" s="1">
        <v>19791</v>
      </c>
      <c r="K58" s="1">
        <f t="shared" si="1"/>
        <v>958</v>
      </c>
      <c r="L58" s="1">
        <f t="shared" si="1"/>
        <v>1245</v>
      </c>
      <c r="M58" s="1">
        <f t="shared" si="1"/>
        <v>1649</v>
      </c>
      <c r="N58" t="str">
        <f t="shared" si="2"/>
        <v>BOURGOGNE-FRANCHE-COMTÉ|21 - Côte-d'Or|CA Beaune, Côte et Sud - Communauté Beaune-Chagny-Nolay</v>
      </c>
      <c r="O58" t="str">
        <f t="shared" si="3"/>
        <v>Province</v>
      </c>
    </row>
    <row r="59" spans="1:15" x14ac:dyDescent="0.25">
      <c r="A59" t="s">
        <v>146</v>
      </c>
      <c r="B59" t="str">
        <f t="shared" si="0"/>
        <v>Côte-d'Or</v>
      </c>
      <c r="C59" t="s">
        <v>148</v>
      </c>
      <c r="D59" t="s">
        <v>151</v>
      </c>
      <c r="E59" t="s">
        <v>152</v>
      </c>
      <c r="F59" t="s">
        <v>1093</v>
      </c>
      <c r="G59" t="s">
        <v>21</v>
      </c>
      <c r="H59" s="5">
        <v>9900</v>
      </c>
      <c r="I59" s="1">
        <v>14160</v>
      </c>
      <c r="J59" s="1">
        <v>19200</v>
      </c>
      <c r="K59" s="1">
        <f t="shared" si="1"/>
        <v>825</v>
      </c>
      <c r="L59" s="1">
        <f t="shared" si="1"/>
        <v>1180</v>
      </c>
      <c r="M59" s="1">
        <f t="shared" si="1"/>
        <v>1600</v>
      </c>
      <c r="N59" t="str">
        <f t="shared" si="2"/>
        <v>BOURGOGNE-FRANCHE-COMTÉ|21 - Côte-d'Or|Dijon Métropole</v>
      </c>
      <c r="O59" t="str">
        <f t="shared" si="3"/>
        <v>Province</v>
      </c>
    </row>
    <row r="60" spans="1:15" x14ac:dyDescent="0.25">
      <c r="A60" t="s">
        <v>146</v>
      </c>
      <c r="B60" t="str">
        <f t="shared" si="0"/>
        <v>Doubs</v>
      </c>
      <c r="C60" t="s">
        <v>154</v>
      </c>
      <c r="D60" t="s">
        <v>155</v>
      </c>
      <c r="E60" t="s">
        <v>156</v>
      </c>
      <c r="F60" t="s">
        <v>1093</v>
      </c>
      <c r="G60" t="s">
        <v>21</v>
      </c>
      <c r="H60" s="5">
        <v>9224</v>
      </c>
      <c r="I60" s="1">
        <v>12900</v>
      </c>
      <c r="J60" s="1">
        <v>18132</v>
      </c>
      <c r="K60" s="1">
        <f t="shared" si="1"/>
        <v>769</v>
      </c>
      <c r="L60" s="1">
        <f t="shared" si="1"/>
        <v>1075</v>
      </c>
      <c r="M60" s="1">
        <f t="shared" si="1"/>
        <v>1511</v>
      </c>
      <c r="N60" t="str">
        <f t="shared" si="2"/>
        <v>BOURGOGNE-FRANCHE-COMTÉ|25 - Doubs|CA Pays de Montbéliard Agglomération</v>
      </c>
      <c r="O60" t="str">
        <f t="shared" si="3"/>
        <v>Province</v>
      </c>
    </row>
    <row r="61" spans="1:15" x14ac:dyDescent="0.25">
      <c r="A61" t="s">
        <v>146</v>
      </c>
      <c r="B61" t="str">
        <f t="shared" si="0"/>
        <v>Doubs</v>
      </c>
      <c r="C61" t="s">
        <v>154</v>
      </c>
      <c r="D61" t="s">
        <v>157</v>
      </c>
      <c r="E61" t="s">
        <v>158</v>
      </c>
      <c r="F61" t="s">
        <v>1093</v>
      </c>
      <c r="G61" t="s">
        <v>21</v>
      </c>
      <c r="H61" s="5">
        <v>10159</v>
      </c>
      <c r="I61" s="1">
        <v>14304</v>
      </c>
      <c r="J61" s="1">
        <v>19800</v>
      </c>
      <c r="K61" s="1">
        <f t="shared" si="1"/>
        <v>847</v>
      </c>
      <c r="L61" s="1">
        <f t="shared" si="1"/>
        <v>1192</v>
      </c>
      <c r="M61" s="1">
        <f t="shared" si="1"/>
        <v>1650</v>
      </c>
      <c r="N61" t="str">
        <f t="shared" si="2"/>
        <v>BOURGOGNE-FRANCHE-COMTÉ|25 - Doubs|CC du Grand Pontarlier</v>
      </c>
      <c r="O61" t="str">
        <f t="shared" si="3"/>
        <v>Province</v>
      </c>
    </row>
    <row r="62" spans="1:15" x14ac:dyDescent="0.25">
      <c r="A62" t="s">
        <v>146</v>
      </c>
      <c r="B62" t="str">
        <f t="shared" si="0"/>
        <v>Doubs</v>
      </c>
      <c r="C62" t="s">
        <v>154</v>
      </c>
      <c r="D62" t="s">
        <v>159</v>
      </c>
      <c r="E62" t="s">
        <v>160</v>
      </c>
      <c r="F62" t="s">
        <v>1093</v>
      </c>
      <c r="G62" t="s">
        <v>21</v>
      </c>
      <c r="H62" s="5">
        <v>9905</v>
      </c>
      <c r="I62" s="1">
        <v>14537</v>
      </c>
      <c r="J62" s="1">
        <v>19697</v>
      </c>
      <c r="K62" s="1">
        <f t="shared" si="1"/>
        <v>825</v>
      </c>
      <c r="L62" s="1">
        <f t="shared" si="1"/>
        <v>1211</v>
      </c>
      <c r="M62" s="1">
        <f t="shared" si="1"/>
        <v>1641</v>
      </c>
      <c r="N62" t="str">
        <f t="shared" si="2"/>
        <v>BOURGOGNE-FRANCHE-COMTÉ|25 - Doubs|CC du Pays d'Héricourt</v>
      </c>
      <c r="O62" t="str">
        <f t="shared" si="3"/>
        <v>Province</v>
      </c>
    </row>
    <row r="63" spans="1:15" x14ac:dyDescent="0.25">
      <c r="A63" t="s">
        <v>146</v>
      </c>
      <c r="B63" t="str">
        <f t="shared" si="0"/>
        <v>Doubs</v>
      </c>
      <c r="C63" t="s">
        <v>154</v>
      </c>
      <c r="D63" t="s">
        <v>161</v>
      </c>
      <c r="E63" t="s">
        <v>162</v>
      </c>
      <c r="F63" t="s">
        <v>1093</v>
      </c>
      <c r="G63" t="s">
        <v>21</v>
      </c>
      <c r="H63" s="5">
        <v>9403</v>
      </c>
      <c r="I63" s="1">
        <v>13200</v>
      </c>
      <c r="J63" s="1">
        <v>18600</v>
      </c>
      <c r="K63" s="1">
        <f t="shared" si="1"/>
        <v>784</v>
      </c>
      <c r="L63" s="1">
        <f t="shared" si="1"/>
        <v>1100</v>
      </c>
      <c r="M63" s="1">
        <f t="shared" si="1"/>
        <v>1550</v>
      </c>
      <c r="N63" t="str">
        <f t="shared" si="2"/>
        <v>BOURGOGNE-FRANCHE-COMTÉ|25 - Doubs|CU Grand Besançon Métropole</v>
      </c>
      <c r="O63" t="str">
        <f t="shared" si="3"/>
        <v>Province</v>
      </c>
    </row>
    <row r="64" spans="1:15" x14ac:dyDescent="0.25">
      <c r="A64" t="s">
        <v>146</v>
      </c>
      <c r="B64" t="str">
        <f t="shared" si="0"/>
        <v>Jura</v>
      </c>
      <c r="C64" t="s">
        <v>164</v>
      </c>
      <c r="D64" t="s">
        <v>165</v>
      </c>
      <c r="E64" t="s">
        <v>166</v>
      </c>
      <c r="F64" t="s">
        <v>1093</v>
      </c>
      <c r="G64" t="s">
        <v>21</v>
      </c>
      <c r="H64" s="5">
        <v>10836</v>
      </c>
      <c r="I64" s="1">
        <v>14280</v>
      </c>
      <c r="J64" s="1">
        <v>19200</v>
      </c>
      <c r="K64" s="1">
        <f t="shared" si="1"/>
        <v>903</v>
      </c>
      <c r="L64" s="1">
        <f t="shared" si="1"/>
        <v>1190</v>
      </c>
      <c r="M64" s="1">
        <f t="shared" si="1"/>
        <v>1600</v>
      </c>
      <c r="N64" t="str">
        <f t="shared" si="2"/>
        <v>BOURGOGNE-FRANCHE-COMTÉ|39 - Jura|CA du Grand Dole</v>
      </c>
      <c r="O64" t="str">
        <f t="shared" si="3"/>
        <v>Province</v>
      </c>
    </row>
    <row r="65" spans="1:15" x14ac:dyDescent="0.25">
      <c r="A65" t="s">
        <v>146</v>
      </c>
      <c r="B65" t="str">
        <f t="shared" si="0"/>
        <v>Jura</v>
      </c>
      <c r="C65" t="s">
        <v>164</v>
      </c>
      <c r="D65" t="s">
        <v>167</v>
      </c>
      <c r="E65" t="s">
        <v>168</v>
      </c>
      <c r="F65" t="s">
        <v>1093</v>
      </c>
      <c r="G65" t="s">
        <v>21</v>
      </c>
      <c r="H65" s="5">
        <v>10905</v>
      </c>
      <c r="I65" s="1">
        <v>14220</v>
      </c>
      <c r="J65" s="1">
        <v>19092</v>
      </c>
      <c r="K65" s="1">
        <f t="shared" si="1"/>
        <v>909</v>
      </c>
      <c r="L65" s="1">
        <f t="shared" si="1"/>
        <v>1185</v>
      </c>
      <c r="M65" s="1">
        <f t="shared" si="1"/>
        <v>1591</v>
      </c>
      <c r="N65" t="str">
        <f t="shared" si="2"/>
        <v>BOURGOGNE-FRANCHE-COMTÉ|39 - Jura|CA ECLA (Espace Communautaire Lons Agglomération)</v>
      </c>
      <c r="O65" t="str">
        <f t="shared" si="3"/>
        <v>Province</v>
      </c>
    </row>
    <row r="66" spans="1:15" x14ac:dyDescent="0.25">
      <c r="A66" t="s">
        <v>146</v>
      </c>
      <c r="B66" t="str">
        <f t="shared" ref="B66:B129" si="4">MID(C66,6,LEN(C66))</f>
        <v>Jura</v>
      </c>
      <c r="C66" t="s">
        <v>164</v>
      </c>
      <c r="D66" t="s">
        <v>169</v>
      </c>
      <c r="E66" t="s">
        <v>170</v>
      </c>
      <c r="F66" t="s">
        <v>1093</v>
      </c>
      <c r="G66" t="s">
        <v>21</v>
      </c>
      <c r="H66" s="5">
        <v>9744</v>
      </c>
      <c r="I66" s="1">
        <v>12728</v>
      </c>
      <c r="J66" s="1">
        <v>19787</v>
      </c>
      <c r="K66" s="1">
        <f t="shared" ref="K66:M129" si="5">ROUND(H66/12,0)</f>
        <v>812</v>
      </c>
      <c r="L66" s="1">
        <f t="shared" si="5"/>
        <v>1061</v>
      </c>
      <c r="M66" s="1">
        <f t="shared" si="5"/>
        <v>1649</v>
      </c>
      <c r="N66" t="str">
        <f t="shared" ref="N66:N129" si="6">SUBSTITUTE(
   UPPER(SUBSTITUTE(TRIM(A66), CHAR(160), " ")) &amp; "|" &amp;
   SUBSTITUTE(TRIM(C66), CHAR(160), " ") &amp; "|" &amp;
   SUBSTITUTE(TRIM(D66), CHAR(160), " "),
   "–", "-"
)</f>
        <v>BOURGOGNE-FRANCHE-COMTÉ|39 - Jura|CC Haut-Jura Saint-Claude</v>
      </c>
      <c r="O66" t="str">
        <f t="shared" ref="O66:O129" si="7">IF(A66="Hauts-de-France", "HDF",
IF(A66="Île-de-France", "IDF",
IF(OR(A66="Guadeloupe", A66="Martinique", A66="Guyane", A66="La Réunion", A66="Mayotte"), "OM", "Province")))</f>
        <v>Province</v>
      </c>
    </row>
    <row r="67" spans="1:15" x14ac:dyDescent="0.25">
      <c r="A67" t="s">
        <v>146</v>
      </c>
      <c r="B67" t="str">
        <f t="shared" si="4"/>
        <v>Nièvre</v>
      </c>
      <c r="C67" t="s">
        <v>172</v>
      </c>
      <c r="D67" t="s">
        <v>173</v>
      </c>
      <c r="E67" t="s">
        <v>174</v>
      </c>
      <c r="F67" t="s">
        <v>1093</v>
      </c>
      <c r="G67" t="s">
        <v>21</v>
      </c>
      <c r="H67" s="5">
        <v>9081</v>
      </c>
      <c r="I67" s="1">
        <v>12876</v>
      </c>
      <c r="J67" s="1">
        <v>18171</v>
      </c>
      <c r="K67" s="1">
        <f t="shared" si="5"/>
        <v>757</v>
      </c>
      <c r="L67" s="1">
        <f t="shared" si="5"/>
        <v>1073</v>
      </c>
      <c r="M67" s="1">
        <f t="shared" si="5"/>
        <v>1514</v>
      </c>
      <c r="N67" t="str">
        <f t="shared" si="6"/>
        <v>BOURGOGNE-FRANCHE-COMTÉ|58 - Nièvre|CA de Nevers</v>
      </c>
      <c r="O67" t="str">
        <f t="shared" si="7"/>
        <v>Province</v>
      </c>
    </row>
    <row r="68" spans="1:15" x14ac:dyDescent="0.25">
      <c r="A68" t="s">
        <v>146</v>
      </c>
      <c r="B68" t="str">
        <f t="shared" si="4"/>
        <v>Nièvre</v>
      </c>
      <c r="C68" t="s">
        <v>172</v>
      </c>
      <c r="D68" t="s">
        <v>40</v>
      </c>
      <c r="E68" t="s">
        <v>41</v>
      </c>
      <c r="F68" t="s">
        <v>1093</v>
      </c>
      <c r="G68" t="s">
        <v>21</v>
      </c>
      <c r="H68" s="5">
        <v>9332</v>
      </c>
      <c r="I68" s="1">
        <v>12818</v>
      </c>
      <c r="J68" s="1">
        <v>17778</v>
      </c>
      <c r="K68" s="1">
        <f t="shared" si="5"/>
        <v>778</v>
      </c>
      <c r="L68" s="1">
        <f t="shared" si="5"/>
        <v>1068</v>
      </c>
      <c r="M68" s="1">
        <f t="shared" si="5"/>
        <v>1482</v>
      </c>
      <c r="N68" t="str">
        <f t="shared" si="6"/>
        <v>BOURGOGNE-FRANCHE-COMTÉ|58 - Nièvre|CA Moulins Communauté</v>
      </c>
      <c r="O68" t="str">
        <f t="shared" si="7"/>
        <v>Province</v>
      </c>
    </row>
    <row r="69" spans="1:15" x14ac:dyDescent="0.25">
      <c r="A69" t="s">
        <v>146</v>
      </c>
      <c r="B69" t="str">
        <f t="shared" si="4"/>
        <v>Nièvre</v>
      </c>
      <c r="C69" t="s">
        <v>172</v>
      </c>
      <c r="D69" t="s">
        <v>175</v>
      </c>
      <c r="E69" t="s">
        <v>176</v>
      </c>
      <c r="F69" t="s">
        <v>1093</v>
      </c>
      <c r="G69" t="s">
        <v>21</v>
      </c>
      <c r="H69" s="5">
        <v>8598</v>
      </c>
      <c r="I69" s="1">
        <v>12402</v>
      </c>
      <c r="J69" s="1">
        <v>16764</v>
      </c>
      <c r="K69" s="1">
        <f t="shared" si="5"/>
        <v>717</v>
      </c>
      <c r="L69" s="1">
        <f t="shared" si="5"/>
        <v>1034</v>
      </c>
      <c r="M69" s="1">
        <f t="shared" si="5"/>
        <v>1397</v>
      </c>
      <c r="N69" t="str">
        <f t="shared" si="6"/>
        <v>BOURGOGNE-FRANCHE-COMTÉ|58 - Nièvre|CC Coeur de Loire</v>
      </c>
      <c r="O69" t="str">
        <f t="shared" si="7"/>
        <v>Province</v>
      </c>
    </row>
    <row r="70" spans="1:15" x14ac:dyDescent="0.25">
      <c r="A70" t="s">
        <v>146</v>
      </c>
      <c r="B70" t="str">
        <f t="shared" si="4"/>
        <v>Haute-Saône</v>
      </c>
      <c r="C70" t="s">
        <v>178</v>
      </c>
      <c r="D70" t="s">
        <v>179</v>
      </c>
      <c r="E70" t="s">
        <v>180</v>
      </c>
      <c r="F70" t="s">
        <v>1093</v>
      </c>
      <c r="G70" t="s">
        <v>21</v>
      </c>
      <c r="H70" s="5">
        <v>9902</v>
      </c>
      <c r="I70" s="1">
        <v>13600</v>
      </c>
      <c r="J70" s="1">
        <v>19176</v>
      </c>
      <c r="K70" s="1">
        <f t="shared" si="5"/>
        <v>825</v>
      </c>
      <c r="L70" s="1">
        <f t="shared" si="5"/>
        <v>1133</v>
      </c>
      <c r="M70" s="1">
        <f t="shared" si="5"/>
        <v>1598</v>
      </c>
      <c r="N70" t="str">
        <f t="shared" si="6"/>
        <v>BOURGOGNE-FRANCHE-COMTÉ|70 - Haute-Saône|CA de Vesoul</v>
      </c>
      <c r="O70" t="str">
        <f t="shared" si="7"/>
        <v>Province</v>
      </c>
    </row>
    <row r="71" spans="1:15" x14ac:dyDescent="0.25">
      <c r="A71" t="s">
        <v>146</v>
      </c>
      <c r="B71" t="str">
        <f t="shared" si="4"/>
        <v>Haute-Saône</v>
      </c>
      <c r="C71" t="s">
        <v>178</v>
      </c>
      <c r="D71" t="s">
        <v>181</v>
      </c>
      <c r="E71" t="s">
        <v>182</v>
      </c>
      <c r="F71" t="s">
        <v>1093</v>
      </c>
      <c r="G71" t="s">
        <v>21</v>
      </c>
      <c r="H71" s="5">
        <v>8915</v>
      </c>
      <c r="I71" s="1">
        <v>12831</v>
      </c>
      <c r="J71" s="1">
        <v>18054</v>
      </c>
      <c r="K71" s="1">
        <f t="shared" si="5"/>
        <v>743</v>
      </c>
      <c r="L71" s="1">
        <f t="shared" si="5"/>
        <v>1069</v>
      </c>
      <c r="M71" s="1">
        <f t="shared" si="5"/>
        <v>1505</v>
      </c>
      <c r="N71" t="str">
        <f t="shared" si="6"/>
        <v>BOURGOGNE-FRANCHE-COMTÉ|70 - Haute-Saône|CC du Pays de Lure</v>
      </c>
      <c r="O71" t="str">
        <f t="shared" si="7"/>
        <v>Province</v>
      </c>
    </row>
    <row r="72" spans="1:15" x14ac:dyDescent="0.25">
      <c r="A72" t="s">
        <v>146</v>
      </c>
      <c r="B72" t="str">
        <f t="shared" si="4"/>
        <v>Haute-Saône</v>
      </c>
      <c r="C72" t="s">
        <v>178</v>
      </c>
      <c r="D72" t="s">
        <v>183</v>
      </c>
      <c r="E72" t="s">
        <v>184</v>
      </c>
      <c r="F72" t="s">
        <v>1093</v>
      </c>
      <c r="G72" t="s">
        <v>21</v>
      </c>
      <c r="H72" s="5">
        <v>9158</v>
      </c>
      <c r="I72" s="1">
        <v>12558</v>
      </c>
      <c r="J72" s="1">
        <v>18021</v>
      </c>
      <c r="K72" s="1">
        <f t="shared" si="5"/>
        <v>763</v>
      </c>
      <c r="L72" s="1">
        <f t="shared" si="5"/>
        <v>1047</v>
      </c>
      <c r="M72" s="1">
        <f t="shared" si="5"/>
        <v>1502</v>
      </c>
      <c r="N72" t="str">
        <f t="shared" si="6"/>
        <v>BOURGOGNE-FRANCHE-COMTÉ|70 - Haute-Saône|CC du Pays de Luxeuil</v>
      </c>
      <c r="O72" t="str">
        <f t="shared" si="7"/>
        <v>Province</v>
      </c>
    </row>
    <row r="73" spans="1:15" x14ac:dyDescent="0.25">
      <c r="A73" t="s">
        <v>146</v>
      </c>
      <c r="B73" t="str">
        <f t="shared" si="4"/>
        <v>Haute-Saône</v>
      </c>
      <c r="C73" t="s">
        <v>178</v>
      </c>
      <c r="D73" t="s">
        <v>159</v>
      </c>
      <c r="E73" t="s">
        <v>160</v>
      </c>
      <c r="F73" t="s">
        <v>1093</v>
      </c>
      <c r="G73" t="s">
        <v>21</v>
      </c>
      <c r="H73" s="5">
        <v>9905</v>
      </c>
      <c r="I73" s="1">
        <v>14537</v>
      </c>
      <c r="J73" s="1">
        <v>19697</v>
      </c>
      <c r="K73" s="1">
        <f t="shared" si="5"/>
        <v>825</v>
      </c>
      <c r="L73" s="1">
        <f t="shared" si="5"/>
        <v>1211</v>
      </c>
      <c r="M73" s="1">
        <f t="shared" si="5"/>
        <v>1641</v>
      </c>
      <c r="N73" t="str">
        <f t="shared" si="6"/>
        <v>BOURGOGNE-FRANCHE-COMTÉ|70 - Haute-Saône|CC du Pays d'Héricourt</v>
      </c>
      <c r="O73" t="str">
        <f t="shared" si="7"/>
        <v>Province</v>
      </c>
    </row>
    <row r="74" spans="1:15" x14ac:dyDescent="0.25">
      <c r="A74" t="s">
        <v>146</v>
      </c>
      <c r="B74" t="str">
        <f t="shared" si="4"/>
        <v>Haute-Saône</v>
      </c>
      <c r="C74" t="s">
        <v>178</v>
      </c>
      <c r="D74" t="s">
        <v>185</v>
      </c>
      <c r="E74" t="s">
        <v>186</v>
      </c>
      <c r="F74" t="s">
        <v>1093</v>
      </c>
      <c r="G74" t="s">
        <v>21</v>
      </c>
      <c r="H74" s="5">
        <v>9300</v>
      </c>
      <c r="I74" s="1">
        <v>12396</v>
      </c>
      <c r="J74" s="1">
        <v>16800</v>
      </c>
      <c r="K74" s="1">
        <f t="shared" si="5"/>
        <v>775</v>
      </c>
      <c r="L74" s="1">
        <f t="shared" si="5"/>
        <v>1033</v>
      </c>
      <c r="M74" s="1">
        <f t="shared" si="5"/>
        <v>1400</v>
      </c>
      <c r="N74" t="str">
        <f t="shared" si="6"/>
        <v>BOURGOGNE-FRANCHE-COMTÉ|70 - Haute-Saône|CC Val de Gray</v>
      </c>
      <c r="O74" t="str">
        <f t="shared" si="7"/>
        <v>Province</v>
      </c>
    </row>
    <row r="75" spans="1:15" x14ac:dyDescent="0.25">
      <c r="A75" t="s">
        <v>146</v>
      </c>
      <c r="B75" t="str">
        <f t="shared" si="4"/>
        <v>Saône-et-Loire</v>
      </c>
      <c r="C75" t="s">
        <v>188</v>
      </c>
      <c r="D75" t="s">
        <v>149</v>
      </c>
      <c r="E75" t="s">
        <v>150</v>
      </c>
      <c r="F75" t="s">
        <v>1093</v>
      </c>
      <c r="G75" t="s">
        <v>21</v>
      </c>
      <c r="H75" s="5">
        <v>11490</v>
      </c>
      <c r="I75" s="1">
        <v>14934</v>
      </c>
      <c r="J75" s="1">
        <v>19791</v>
      </c>
      <c r="K75" s="1">
        <f t="shared" si="5"/>
        <v>958</v>
      </c>
      <c r="L75" s="1">
        <f t="shared" si="5"/>
        <v>1245</v>
      </c>
      <c r="M75" s="1">
        <f t="shared" si="5"/>
        <v>1649</v>
      </c>
      <c r="N75" t="str">
        <f t="shared" si="6"/>
        <v>BOURGOGNE-FRANCHE-COMTÉ|71 - Saône-et-Loire|CA Beaune, Côte et Sud - Communauté Beaune-Chagny-Nolay</v>
      </c>
      <c r="O75" t="str">
        <f t="shared" si="7"/>
        <v>Province</v>
      </c>
    </row>
    <row r="76" spans="1:15" x14ac:dyDescent="0.25">
      <c r="A76" t="s">
        <v>146</v>
      </c>
      <c r="B76" t="str">
        <f t="shared" si="4"/>
        <v>Saône-et-Loire</v>
      </c>
      <c r="C76" t="s">
        <v>188</v>
      </c>
      <c r="D76" t="s">
        <v>189</v>
      </c>
      <c r="E76" t="s">
        <v>190</v>
      </c>
      <c r="F76" t="s">
        <v>1093</v>
      </c>
      <c r="G76" t="s">
        <v>21</v>
      </c>
      <c r="H76" s="5">
        <v>10200</v>
      </c>
      <c r="I76" s="1">
        <v>14160</v>
      </c>
      <c r="J76" s="1">
        <v>19200</v>
      </c>
      <c r="K76" s="1">
        <f t="shared" si="5"/>
        <v>850</v>
      </c>
      <c r="L76" s="1">
        <f t="shared" si="5"/>
        <v>1180</v>
      </c>
      <c r="M76" s="1">
        <f t="shared" si="5"/>
        <v>1600</v>
      </c>
      <c r="N76" t="str">
        <f t="shared" si="6"/>
        <v>BOURGOGNE-FRANCHE-COMTÉ|71 - Saône-et-Loire|CA Le Grand Chalon</v>
      </c>
      <c r="O76" t="str">
        <f t="shared" si="7"/>
        <v>Province</v>
      </c>
    </row>
    <row r="77" spans="1:15" x14ac:dyDescent="0.25">
      <c r="A77" t="s">
        <v>146</v>
      </c>
      <c r="B77" t="str">
        <f t="shared" si="4"/>
        <v>Saône-et-Loire</v>
      </c>
      <c r="C77" t="s">
        <v>188</v>
      </c>
      <c r="D77" t="s">
        <v>26</v>
      </c>
      <c r="E77" t="s">
        <v>27</v>
      </c>
      <c r="F77" t="s">
        <v>1093</v>
      </c>
      <c r="G77" t="s">
        <v>21</v>
      </c>
      <c r="H77" s="5">
        <v>10054</v>
      </c>
      <c r="I77" s="1">
        <v>14004</v>
      </c>
      <c r="J77" s="1">
        <v>19200</v>
      </c>
      <c r="K77" s="1">
        <f t="shared" si="5"/>
        <v>838</v>
      </c>
      <c r="L77" s="1">
        <f t="shared" si="5"/>
        <v>1167</v>
      </c>
      <c r="M77" s="1">
        <f t="shared" si="5"/>
        <v>1600</v>
      </c>
      <c r="N77" t="str">
        <f t="shared" si="6"/>
        <v>BOURGOGNE-FRANCHE-COMTÉ|71 - Saône-et-Loire|CA Mâconnais Beaujolais Agglomération</v>
      </c>
      <c r="O77" t="str">
        <f t="shared" si="7"/>
        <v>Province</v>
      </c>
    </row>
    <row r="78" spans="1:15" x14ac:dyDescent="0.25">
      <c r="A78" t="s">
        <v>146</v>
      </c>
      <c r="B78" t="str">
        <f t="shared" si="4"/>
        <v>Saône-et-Loire</v>
      </c>
      <c r="C78" t="s">
        <v>188</v>
      </c>
      <c r="D78" t="s">
        <v>191</v>
      </c>
      <c r="E78" t="s">
        <v>192</v>
      </c>
      <c r="F78" t="s">
        <v>1093</v>
      </c>
      <c r="G78" t="s">
        <v>21</v>
      </c>
      <c r="H78" s="5">
        <v>8558</v>
      </c>
      <c r="I78" s="1">
        <v>12918</v>
      </c>
      <c r="J78" s="1">
        <v>17991</v>
      </c>
      <c r="K78" s="1">
        <f t="shared" si="5"/>
        <v>713</v>
      </c>
      <c r="L78" s="1">
        <f t="shared" si="5"/>
        <v>1077</v>
      </c>
      <c r="M78" s="1">
        <f t="shared" si="5"/>
        <v>1499</v>
      </c>
      <c r="N78" t="str">
        <f t="shared" si="6"/>
        <v>BOURGOGNE-FRANCHE-COMTÉ|71 - Saône-et-Loire|CC du Grand Autunois Morvan</v>
      </c>
      <c r="O78" t="str">
        <f t="shared" si="7"/>
        <v>Province</v>
      </c>
    </row>
    <row r="79" spans="1:15" x14ac:dyDescent="0.25">
      <c r="A79" t="s">
        <v>146</v>
      </c>
      <c r="B79" t="str">
        <f t="shared" si="4"/>
        <v>Saône-et-Loire</v>
      </c>
      <c r="C79" t="s">
        <v>188</v>
      </c>
      <c r="D79" t="s">
        <v>193</v>
      </c>
      <c r="E79" t="s">
        <v>194</v>
      </c>
      <c r="F79" t="s">
        <v>1093</v>
      </c>
      <c r="G79" t="s">
        <v>21</v>
      </c>
      <c r="H79" s="5">
        <v>9855</v>
      </c>
      <c r="I79" s="1">
        <v>13440</v>
      </c>
      <c r="J79" s="1">
        <v>19161</v>
      </c>
      <c r="K79" s="1">
        <f t="shared" si="5"/>
        <v>821</v>
      </c>
      <c r="L79" s="1">
        <f t="shared" si="5"/>
        <v>1120</v>
      </c>
      <c r="M79" s="1">
        <f t="shared" si="5"/>
        <v>1597</v>
      </c>
      <c r="N79" t="str">
        <f t="shared" si="6"/>
        <v>BOURGOGNE-FRANCHE-COMTÉ|71 - Saône-et-Loire|CU Le Creusot Montceau-les-Mines</v>
      </c>
      <c r="O79" t="str">
        <f t="shared" si="7"/>
        <v>Province</v>
      </c>
    </row>
    <row r="80" spans="1:15" x14ac:dyDescent="0.25">
      <c r="A80" t="s">
        <v>146</v>
      </c>
      <c r="B80" t="str">
        <f t="shared" si="4"/>
        <v>Yonne</v>
      </c>
      <c r="C80" t="s">
        <v>196</v>
      </c>
      <c r="D80" t="s">
        <v>197</v>
      </c>
      <c r="E80" t="s">
        <v>198</v>
      </c>
      <c r="F80" t="s">
        <v>1093</v>
      </c>
      <c r="G80" t="s">
        <v>21</v>
      </c>
      <c r="H80" s="5">
        <v>10068</v>
      </c>
      <c r="I80" s="1">
        <v>13560</v>
      </c>
      <c r="J80" s="1">
        <v>18600</v>
      </c>
      <c r="K80" s="1">
        <f t="shared" si="5"/>
        <v>839</v>
      </c>
      <c r="L80" s="1">
        <f t="shared" si="5"/>
        <v>1130</v>
      </c>
      <c r="M80" s="1">
        <f t="shared" si="5"/>
        <v>1550</v>
      </c>
      <c r="N80" t="str">
        <f t="shared" si="6"/>
        <v>BOURGOGNE-FRANCHE-COMTÉ|89 - Yonne|CA de l'Auxerrois</v>
      </c>
      <c r="O80" t="str">
        <f t="shared" si="7"/>
        <v>Province</v>
      </c>
    </row>
    <row r="81" spans="1:15" x14ac:dyDescent="0.25">
      <c r="A81" t="s">
        <v>146</v>
      </c>
      <c r="B81" t="str">
        <f t="shared" si="4"/>
        <v>Yonne</v>
      </c>
      <c r="C81" t="s">
        <v>196</v>
      </c>
      <c r="D81" t="s">
        <v>199</v>
      </c>
      <c r="E81" t="s">
        <v>200</v>
      </c>
      <c r="F81" t="s">
        <v>1093</v>
      </c>
      <c r="G81" t="s">
        <v>21</v>
      </c>
      <c r="H81" s="5">
        <v>9715</v>
      </c>
      <c r="I81" s="1">
        <v>13656</v>
      </c>
      <c r="J81" s="1">
        <v>19128</v>
      </c>
      <c r="K81" s="1">
        <f t="shared" si="5"/>
        <v>810</v>
      </c>
      <c r="L81" s="1">
        <f t="shared" si="5"/>
        <v>1138</v>
      </c>
      <c r="M81" s="1">
        <f t="shared" si="5"/>
        <v>1594</v>
      </c>
      <c r="N81" t="str">
        <f t="shared" si="6"/>
        <v>BOURGOGNE-FRANCHE-COMTÉ|89 - Yonne|CA du Grand Sénonais</v>
      </c>
      <c r="O81" t="str">
        <f t="shared" si="7"/>
        <v>Province</v>
      </c>
    </row>
    <row r="82" spans="1:15" x14ac:dyDescent="0.25">
      <c r="A82" t="s">
        <v>146</v>
      </c>
      <c r="B82" t="str">
        <f t="shared" si="4"/>
        <v>Yonne</v>
      </c>
      <c r="C82" t="s">
        <v>196</v>
      </c>
      <c r="D82" t="s">
        <v>201</v>
      </c>
      <c r="E82" t="s">
        <v>202</v>
      </c>
      <c r="F82" t="s">
        <v>1093</v>
      </c>
      <c r="G82" t="s">
        <v>21</v>
      </c>
      <c r="H82" s="5">
        <v>8972</v>
      </c>
      <c r="I82" s="1">
        <v>12900</v>
      </c>
      <c r="J82" s="1">
        <v>17286</v>
      </c>
      <c r="K82" s="1">
        <f t="shared" si="5"/>
        <v>748</v>
      </c>
      <c r="L82" s="1">
        <f t="shared" si="5"/>
        <v>1075</v>
      </c>
      <c r="M82" s="1">
        <f t="shared" si="5"/>
        <v>1441</v>
      </c>
      <c r="N82" t="str">
        <f t="shared" si="6"/>
        <v>BOURGOGNE-FRANCHE-COMTÉ|89 - Yonne|CC de l'Agglomération Migennoise</v>
      </c>
      <c r="O82" t="str">
        <f t="shared" si="7"/>
        <v>Province</v>
      </c>
    </row>
    <row r="83" spans="1:15" x14ac:dyDescent="0.25">
      <c r="A83" t="s">
        <v>146</v>
      </c>
      <c r="B83" t="str">
        <f t="shared" si="4"/>
        <v>Yonne</v>
      </c>
      <c r="C83" t="s">
        <v>196</v>
      </c>
      <c r="D83" t="s">
        <v>203</v>
      </c>
      <c r="E83" t="s">
        <v>204</v>
      </c>
      <c r="F83" t="s">
        <v>1093</v>
      </c>
      <c r="G83" t="s">
        <v>21</v>
      </c>
      <c r="H83" s="5">
        <v>8925</v>
      </c>
      <c r="I83" s="1">
        <v>12256</v>
      </c>
      <c r="J83" s="1">
        <v>17080</v>
      </c>
      <c r="K83" s="1">
        <f t="shared" si="5"/>
        <v>744</v>
      </c>
      <c r="L83" s="1">
        <f t="shared" si="5"/>
        <v>1021</v>
      </c>
      <c r="M83" s="1">
        <f t="shared" si="5"/>
        <v>1423</v>
      </c>
      <c r="N83" t="str">
        <f t="shared" si="6"/>
        <v>BOURGOGNE-FRANCHE-COMTÉ|89 - Yonne|CC du Jovinien</v>
      </c>
      <c r="O83" t="str">
        <f t="shared" si="7"/>
        <v>Province</v>
      </c>
    </row>
    <row r="84" spans="1:15" x14ac:dyDescent="0.25">
      <c r="A84" t="s">
        <v>146</v>
      </c>
      <c r="B84" t="str">
        <f t="shared" si="4"/>
        <v>Territoire de Belfort</v>
      </c>
      <c r="C84" t="s">
        <v>206</v>
      </c>
      <c r="D84" t="s">
        <v>207</v>
      </c>
      <c r="E84" t="s">
        <v>208</v>
      </c>
      <c r="F84" t="s">
        <v>1093</v>
      </c>
      <c r="G84" t="s">
        <v>21</v>
      </c>
      <c r="H84" s="5">
        <v>8483</v>
      </c>
      <c r="I84" s="1">
        <v>12520</v>
      </c>
      <c r="J84" s="1">
        <v>17976</v>
      </c>
      <c r="K84" s="1">
        <f t="shared" si="5"/>
        <v>707</v>
      </c>
      <c r="L84" s="1">
        <f t="shared" si="5"/>
        <v>1043</v>
      </c>
      <c r="M84" s="1">
        <f t="shared" si="5"/>
        <v>1498</v>
      </c>
      <c r="N84" t="str">
        <f t="shared" si="6"/>
        <v>BOURGOGNE-FRANCHE-COMTÉ|90 - Territoire de Belfort|CA Grand Belfort</v>
      </c>
      <c r="O84" t="str">
        <f t="shared" si="7"/>
        <v>Province</v>
      </c>
    </row>
    <row r="85" spans="1:15" x14ac:dyDescent="0.25">
      <c r="A85" t="s">
        <v>209</v>
      </c>
      <c r="B85" t="str">
        <f t="shared" si="4"/>
        <v>Côtes-d'Armor</v>
      </c>
      <c r="C85" t="s">
        <v>211</v>
      </c>
      <c r="D85" t="s">
        <v>212</v>
      </c>
      <c r="E85" t="s">
        <v>213</v>
      </c>
      <c r="F85" t="s">
        <v>1093</v>
      </c>
      <c r="G85" t="s">
        <v>21</v>
      </c>
      <c r="H85" s="5">
        <v>10929</v>
      </c>
      <c r="I85" s="1">
        <v>14400</v>
      </c>
      <c r="J85" s="1">
        <v>19200</v>
      </c>
      <c r="K85" s="1">
        <f t="shared" si="5"/>
        <v>911</v>
      </c>
      <c r="L85" s="1">
        <f t="shared" si="5"/>
        <v>1200</v>
      </c>
      <c r="M85" s="1">
        <f t="shared" si="5"/>
        <v>1600</v>
      </c>
      <c r="N85" t="str">
        <f t="shared" si="6"/>
        <v>BRETAGNE|22 - Côtes-d'Armor|CA Dinan Agglomération</v>
      </c>
      <c r="O85" t="str">
        <f t="shared" si="7"/>
        <v>Province</v>
      </c>
    </row>
    <row r="86" spans="1:15" x14ac:dyDescent="0.25">
      <c r="A86" t="s">
        <v>209</v>
      </c>
      <c r="B86" t="str">
        <f t="shared" si="4"/>
        <v>Côtes-d'Armor</v>
      </c>
      <c r="C86" t="s">
        <v>211</v>
      </c>
      <c r="D86" t="s">
        <v>214</v>
      </c>
      <c r="E86" t="s">
        <v>215</v>
      </c>
      <c r="F86" t="s">
        <v>1093</v>
      </c>
      <c r="G86" t="s">
        <v>21</v>
      </c>
      <c r="H86" s="5">
        <v>9856</v>
      </c>
      <c r="I86" s="1">
        <v>12880</v>
      </c>
      <c r="J86" s="1">
        <v>17381</v>
      </c>
      <c r="K86" s="1">
        <f t="shared" si="5"/>
        <v>821</v>
      </c>
      <c r="L86" s="1">
        <f t="shared" si="5"/>
        <v>1073</v>
      </c>
      <c r="M86" s="1">
        <f t="shared" si="5"/>
        <v>1448</v>
      </c>
      <c r="N86" t="str">
        <f t="shared" si="6"/>
        <v>BRETAGNE|22 - Côtes-d'Armor|CA Guingamp-Paimpol Agglomération de l'Armor à l'Argoat</v>
      </c>
      <c r="O86" t="str">
        <f t="shared" si="7"/>
        <v>Province</v>
      </c>
    </row>
    <row r="87" spans="1:15" x14ac:dyDescent="0.25">
      <c r="A87" t="s">
        <v>209</v>
      </c>
      <c r="B87" t="str">
        <f t="shared" si="4"/>
        <v>Côtes-d'Armor</v>
      </c>
      <c r="C87" t="s">
        <v>211</v>
      </c>
      <c r="D87" t="s">
        <v>216</v>
      </c>
      <c r="E87" t="s">
        <v>217</v>
      </c>
      <c r="F87" t="s">
        <v>1093</v>
      </c>
      <c r="G87" t="s">
        <v>21</v>
      </c>
      <c r="H87" s="5">
        <v>10836</v>
      </c>
      <c r="I87" s="1">
        <v>14392</v>
      </c>
      <c r="J87" s="1">
        <v>18984</v>
      </c>
      <c r="K87" s="1">
        <f t="shared" si="5"/>
        <v>903</v>
      </c>
      <c r="L87" s="1">
        <f t="shared" si="5"/>
        <v>1199</v>
      </c>
      <c r="M87" s="1">
        <f t="shared" si="5"/>
        <v>1582</v>
      </c>
      <c r="N87" t="str">
        <f t="shared" si="6"/>
        <v>BRETAGNE|22 - Côtes-d'Armor|CA Lamballe Terre et Mer</v>
      </c>
      <c r="O87" t="str">
        <f t="shared" si="7"/>
        <v>Province</v>
      </c>
    </row>
    <row r="88" spans="1:15" x14ac:dyDescent="0.25">
      <c r="A88" t="s">
        <v>209</v>
      </c>
      <c r="B88" t="str">
        <f t="shared" si="4"/>
        <v>Côtes-d'Armor</v>
      </c>
      <c r="C88" t="s">
        <v>211</v>
      </c>
      <c r="D88" t="s">
        <v>218</v>
      </c>
      <c r="E88" t="s">
        <v>219</v>
      </c>
      <c r="F88" t="s">
        <v>1093</v>
      </c>
      <c r="G88" t="s">
        <v>21</v>
      </c>
      <c r="H88" s="5">
        <v>10934</v>
      </c>
      <c r="I88" s="1">
        <v>13959</v>
      </c>
      <c r="J88" s="1">
        <v>19002</v>
      </c>
      <c r="K88" s="1">
        <f t="shared" si="5"/>
        <v>911</v>
      </c>
      <c r="L88" s="1">
        <f t="shared" si="5"/>
        <v>1163</v>
      </c>
      <c r="M88" s="1">
        <f t="shared" si="5"/>
        <v>1584</v>
      </c>
      <c r="N88" t="str">
        <f t="shared" si="6"/>
        <v>BRETAGNE|22 - Côtes-d'Armor|CA Lannion-Trégor Communauté</v>
      </c>
      <c r="O88" t="str">
        <f t="shared" si="7"/>
        <v>Province</v>
      </c>
    </row>
    <row r="89" spans="1:15" x14ac:dyDescent="0.25">
      <c r="A89" t="s">
        <v>209</v>
      </c>
      <c r="B89" t="str">
        <f t="shared" si="4"/>
        <v>Côtes-d'Armor</v>
      </c>
      <c r="C89" t="s">
        <v>211</v>
      </c>
      <c r="D89" t="s">
        <v>220</v>
      </c>
      <c r="E89" t="s">
        <v>221</v>
      </c>
      <c r="F89" t="s">
        <v>1093</v>
      </c>
      <c r="G89" t="s">
        <v>21</v>
      </c>
      <c r="H89" s="5">
        <v>9785</v>
      </c>
      <c r="I89" s="1">
        <v>13440</v>
      </c>
      <c r="J89" s="1">
        <v>18216</v>
      </c>
      <c r="K89" s="1">
        <f t="shared" si="5"/>
        <v>815</v>
      </c>
      <c r="L89" s="1">
        <f t="shared" si="5"/>
        <v>1120</v>
      </c>
      <c r="M89" s="1">
        <f t="shared" si="5"/>
        <v>1518</v>
      </c>
      <c r="N89" t="str">
        <f t="shared" si="6"/>
        <v>BRETAGNE|22 - Côtes-d'Armor|CA Saint-Brieuc Armor Agglomération</v>
      </c>
      <c r="O89" t="str">
        <f t="shared" si="7"/>
        <v>Province</v>
      </c>
    </row>
    <row r="90" spans="1:15" x14ac:dyDescent="0.25">
      <c r="A90" t="s">
        <v>209</v>
      </c>
      <c r="B90" t="str">
        <f t="shared" si="4"/>
        <v>Côtes-d'Armor</v>
      </c>
      <c r="C90" t="s">
        <v>211</v>
      </c>
      <c r="D90" t="s">
        <v>222</v>
      </c>
      <c r="E90" t="s">
        <v>223</v>
      </c>
      <c r="F90" t="s">
        <v>1093</v>
      </c>
      <c r="G90" t="s">
        <v>21</v>
      </c>
      <c r="H90" s="5">
        <v>10320</v>
      </c>
      <c r="I90" s="1">
        <v>13547</v>
      </c>
      <c r="J90" s="1">
        <v>18252</v>
      </c>
      <c r="K90" s="1">
        <f t="shared" si="5"/>
        <v>860</v>
      </c>
      <c r="L90" s="1">
        <f t="shared" si="5"/>
        <v>1129</v>
      </c>
      <c r="M90" s="1">
        <f t="shared" si="5"/>
        <v>1521</v>
      </c>
      <c r="N90" t="str">
        <f t="shared" si="6"/>
        <v>BRETAGNE|22 - Côtes-d'Armor|CC Pontivy Communauté</v>
      </c>
      <c r="O90" t="str">
        <f t="shared" si="7"/>
        <v>Province</v>
      </c>
    </row>
    <row r="91" spans="1:15" x14ac:dyDescent="0.25">
      <c r="A91" t="s">
        <v>209</v>
      </c>
      <c r="B91" t="str">
        <f t="shared" si="4"/>
        <v>Finistère</v>
      </c>
      <c r="C91" t="s">
        <v>225</v>
      </c>
      <c r="D91" t="s">
        <v>226</v>
      </c>
      <c r="E91" t="s">
        <v>227</v>
      </c>
      <c r="F91" t="s">
        <v>1093</v>
      </c>
      <c r="G91" t="s">
        <v>21</v>
      </c>
      <c r="H91" s="5">
        <v>10092</v>
      </c>
      <c r="I91" s="1">
        <v>13560</v>
      </c>
      <c r="J91" s="1">
        <v>18900</v>
      </c>
      <c r="K91" s="1">
        <f t="shared" si="5"/>
        <v>841</v>
      </c>
      <c r="L91" s="1">
        <f t="shared" si="5"/>
        <v>1130</v>
      </c>
      <c r="M91" s="1">
        <f t="shared" si="5"/>
        <v>1575</v>
      </c>
      <c r="N91" t="str">
        <f t="shared" si="6"/>
        <v>BRETAGNE|29 - Finistère|Brest Métropole</v>
      </c>
      <c r="O91" t="str">
        <f t="shared" si="7"/>
        <v>Province</v>
      </c>
    </row>
    <row r="92" spans="1:15" x14ac:dyDescent="0.25">
      <c r="A92" t="s">
        <v>209</v>
      </c>
      <c r="B92" t="str">
        <f t="shared" si="4"/>
        <v>Finistère</v>
      </c>
      <c r="C92" t="s">
        <v>225</v>
      </c>
      <c r="D92" t="s">
        <v>228</v>
      </c>
      <c r="E92" t="s">
        <v>229</v>
      </c>
      <c r="F92" t="s">
        <v>1093</v>
      </c>
      <c r="G92" t="s">
        <v>21</v>
      </c>
      <c r="H92" s="5">
        <v>11805</v>
      </c>
      <c r="I92" s="1">
        <v>15195</v>
      </c>
      <c r="J92" s="1">
        <v>20220</v>
      </c>
      <c r="K92" s="1">
        <f t="shared" si="5"/>
        <v>984</v>
      </c>
      <c r="L92" s="1">
        <f t="shared" si="5"/>
        <v>1266</v>
      </c>
      <c r="M92" s="1">
        <f t="shared" si="5"/>
        <v>1685</v>
      </c>
      <c r="N92" t="str">
        <f t="shared" si="6"/>
        <v>BRETAGNE|29 - Finistère|CA Concarneau Cornouaille Agglomération</v>
      </c>
      <c r="O92" t="str">
        <f t="shared" si="7"/>
        <v>Province</v>
      </c>
    </row>
    <row r="93" spans="1:15" x14ac:dyDescent="0.25">
      <c r="A93" t="s">
        <v>209</v>
      </c>
      <c r="B93" t="str">
        <f t="shared" si="4"/>
        <v>Finistère</v>
      </c>
      <c r="C93" t="s">
        <v>225</v>
      </c>
      <c r="D93" t="s">
        <v>230</v>
      </c>
      <c r="E93" t="s">
        <v>231</v>
      </c>
      <c r="F93" t="s">
        <v>1093</v>
      </c>
      <c r="G93" t="s">
        <v>21</v>
      </c>
      <c r="H93" s="5">
        <v>12180</v>
      </c>
      <c r="I93" s="1">
        <v>15144</v>
      </c>
      <c r="J93" s="1">
        <v>19608</v>
      </c>
      <c r="K93" s="1">
        <f t="shared" si="5"/>
        <v>1015</v>
      </c>
      <c r="L93" s="1">
        <f t="shared" si="5"/>
        <v>1262</v>
      </c>
      <c r="M93" s="1">
        <f t="shared" si="5"/>
        <v>1634</v>
      </c>
      <c r="N93" t="str">
        <f t="shared" si="6"/>
        <v>BRETAGNE|29 - Finistère|CA du Pays de Landerneau-Daoulas</v>
      </c>
      <c r="O93" t="str">
        <f t="shared" si="7"/>
        <v>Province</v>
      </c>
    </row>
    <row r="94" spans="1:15" x14ac:dyDescent="0.25">
      <c r="A94" t="s">
        <v>209</v>
      </c>
      <c r="B94" t="str">
        <f t="shared" si="4"/>
        <v>Finistère</v>
      </c>
      <c r="C94" t="s">
        <v>225</v>
      </c>
      <c r="D94" t="s">
        <v>232</v>
      </c>
      <c r="E94" t="s">
        <v>233</v>
      </c>
      <c r="F94" t="s">
        <v>1093</v>
      </c>
      <c r="G94" t="s">
        <v>21</v>
      </c>
      <c r="H94" s="5">
        <v>10446</v>
      </c>
      <c r="I94" s="1">
        <v>13140</v>
      </c>
      <c r="J94" s="1">
        <v>17673</v>
      </c>
      <c r="K94" s="1">
        <f t="shared" si="5"/>
        <v>871</v>
      </c>
      <c r="L94" s="1">
        <f t="shared" si="5"/>
        <v>1095</v>
      </c>
      <c r="M94" s="1">
        <f t="shared" si="5"/>
        <v>1473</v>
      </c>
      <c r="N94" t="str">
        <f t="shared" si="6"/>
        <v>BRETAGNE|29 - Finistère|CA Morlaix Communauté</v>
      </c>
      <c r="O94" t="str">
        <f t="shared" si="7"/>
        <v>Province</v>
      </c>
    </row>
    <row r="95" spans="1:15" x14ac:dyDescent="0.25">
      <c r="A95" t="s">
        <v>209</v>
      </c>
      <c r="B95" t="str">
        <f t="shared" si="4"/>
        <v>Finistère</v>
      </c>
      <c r="C95" t="s">
        <v>225</v>
      </c>
      <c r="D95" t="s">
        <v>234</v>
      </c>
      <c r="E95" t="s">
        <v>235</v>
      </c>
      <c r="F95" t="s">
        <v>1093</v>
      </c>
      <c r="G95" t="s">
        <v>21</v>
      </c>
      <c r="H95" s="5">
        <v>11071</v>
      </c>
      <c r="I95" s="1">
        <v>14520</v>
      </c>
      <c r="J95" s="1">
        <v>19368</v>
      </c>
      <c r="K95" s="1">
        <f t="shared" si="5"/>
        <v>923</v>
      </c>
      <c r="L95" s="1">
        <f t="shared" si="5"/>
        <v>1210</v>
      </c>
      <c r="M95" s="1">
        <f t="shared" si="5"/>
        <v>1614</v>
      </c>
      <c r="N95" t="str">
        <f t="shared" si="6"/>
        <v>BRETAGNE|29 - Finistère|CA Quimper Bretagne Occidentale</v>
      </c>
      <c r="O95" t="str">
        <f t="shared" si="7"/>
        <v>Province</v>
      </c>
    </row>
    <row r="96" spans="1:15" x14ac:dyDescent="0.25">
      <c r="A96" t="s">
        <v>209</v>
      </c>
      <c r="B96" t="str">
        <f t="shared" si="4"/>
        <v>Finistère</v>
      </c>
      <c r="C96" t="s">
        <v>225</v>
      </c>
      <c r="D96" t="s">
        <v>236</v>
      </c>
      <c r="E96" t="s">
        <v>237</v>
      </c>
      <c r="F96" t="s">
        <v>1093</v>
      </c>
      <c r="G96" t="s">
        <v>21</v>
      </c>
      <c r="H96" s="5">
        <v>11355</v>
      </c>
      <c r="I96" s="1">
        <v>14892</v>
      </c>
      <c r="J96" s="1">
        <v>19800</v>
      </c>
      <c r="K96" s="1">
        <f t="shared" si="5"/>
        <v>946</v>
      </c>
      <c r="L96" s="1">
        <f t="shared" si="5"/>
        <v>1241</v>
      </c>
      <c r="M96" s="1">
        <f t="shared" si="5"/>
        <v>1650</v>
      </c>
      <c r="N96" t="str">
        <f t="shared" si="6"/>
        <v>BRETAGNE|29 - Finistère|CA Quimperlé Communauté</v>
      </c>
      <c r="O96" t="str">
        <f t="shared" si="7"/>
        <v>Province</v>
      </c>
    </row>
    <row r="97" spans="1:15" x14ac:dyDescent="0.25">
      <c r="A97" t="s">
        <v>209</v>
      </c>
      <c r="B97" t="str">
        <f t="shared" si="4"/>
        <v>Ille-et-Vilaine</v>
      </c>
      <c r="C97" t="s">
        <v>239</v>
      </c>
      <c r="D97" t="s">
        <v>240</v>
      </c>
      <c r="E97" t="s">
        <v>241</v>
      </c>
      <c r="F97" t="s">
        <v>1093</v>
      </c>
      <c r="G97" t="s">
        <v>21</v>
      </c>
      <c r="H97" s="5">
        <v>11832</v>
      </c>
      <c r="I97" s="1">
        <v>15390</v>
      </c>
      <c r="J97" s="1">
        <v>19944</v>
      </c>
      <c r="K97" s="1">
        <f t="shared" si="5"/>
        <v>986</v>
      </c>
      <c r="L97" s="1">
        <f t="shared" si="5"/>
        <v>1283</v>
      </c>
      <c r="M97" s="1">
        <f t="shared" si="5"/>
        <v>1662</v>
      </c>
      <c r="N97" t="str">
        <f t="shared" si="6"/>
        <v>BRETAGNE|35 - Ille-et-Vilaine|CA du Pays de Saint Malo Agglomération</v>
      </c>
      <c r="O97" t="str">
        <f t="shared" si="7"/>
        <v>Province</v>
      </c>
    </row>
    <row r="98" spans="1:15" x14ac:dyDescent="0.25">
      <c r="A98" t="s">
        <v>209</v>
      </c>
      <c r="B98" t="str">
        <f t="shared" si="4"/>
        <v>Ille-et-Vilaine</v>
      </c>
      <c r="C98" t="s">
        <v>239</v>
      </c>
      <c r="D98" t="s">
        <v>242</v>
      </c>
      <c r="E98" t="s">
        <v>243</v>
      </c>
      <c r="F98" t="s">
        <v>1093</v>
      </c>
      <c r="G98" t="s">
        <v>21</v>
      </c>
      <c r="H98" s="5">
        <v>10131</v>
      </c>
      <c r="I98" s="1">
        <v>13410</v>
      </c>
      <c r="J98" s="1">
        <v>18249</v>
      </c>
      <c r="K98" s="1">
        <f t="shared" si="5"/>
        <v>844</v>
      </c>
      <c r="L98" s="1">
        <f t="shared" si="5"/>
        <v>1118</v>
      </c>
      <c r="M98" s="1">
        <f t="shared" si="5"/>
        <v>1521</v>
      </c>
      <c r="N98" t="str">
        <f t="shared" si="6"/>
        <v>BRETAGNE|35 - Ille-et-Vilaine|CA Fougères Agglomération</v>
      </c>
      <c r="O98" t="str">
        <f t="shared" si="7"/>
        <v>Province</v>
      </c>
    </row>
    <row r="99" spans="1:15" x14ac:dyDescent="0.25">
      <c r="A99" t="s">
        <v>209</v>
      </c>
      <c r="B99" t="str">
        <f t="shared" si="4"/>
        <v>Ille-et-Vilaine</v>
      </c>
      <c r="C99" t="s">
        <v>239</v>
      </c>
      <c r="D99" t="s">
        <v>244</v>
      </c>
      <c r="E99" t="s">
        <v>245</v>
      </c>
      <c r="F99" t="s">
        <v>1093</v>
      </c>
      <c r="G99" t="s">
        <v>21</v>
      </c>
      <c r="H99" s="5">
        <v>9535</v>
      </c>
      <c r="I99" s="1">
        <v>12615</v>
      </c>
      <c r="J99" s="1">
        <v>16944</v>
      </c>
      <c r="K99" s="1">
        <f t="shared" si="5"/>
        <v>795</v>
      </c>
      <c r="L99" s="1">
        <f t="shared" si="5"/>
        <v>1051</v>
      </c>
      <c r="M99" s="1">
        <f t="shared" si="5"/>
        <v>1412</v>
      </c>
      <c r="N99" t="str">
        <f t="shared" si="6"/>
        <v>BRETAGNE|35 - Ille-et-Vilaine|CA Redon Agglomération</v>
      </c>
      <c r="O99" t="str">
        <f t="shared" si="7"/>
        <v>Province</v>
      </c>
    </row>
    <row r="100" spans="1:15" x14ac:dyDescent="0.25">
      <c r="A100" t="s">
        <v>209</v>
      </c>
      <c r="B100" t="str">
        <f t="shared" si="4"/>
        <v>Ille-et-Vilaine</v>
      </c>
      <c r="C100" t="s">
        <v>239</v>
      </c>
      <c r="D100" t="s">
        <v>246</v>
      </c>
      <c r="E100" t="s">
        <v>247</v>
      </c>
      <c r="F100" t="s">
        <v>1093</v>
      </c>
      <c r="G100" t="s">
        <v>21</v>
      </c>
      <c r="H100" s="5">
        <v>11176</v>
      </c>
      <c r="I100" s="1">
        <v>14880</v>
      </c>
      <c r="J100" s="1">
        <v>19491</v>
      </c>
      <c r="K100" s="1">
        <f t="shared" si="5"/>
        <v>931</v>
      </c>
      <c r="L100" s="1">
        <f t="shared" si="5"/>
        <v>1240</v>
      </c>
      <c r="M100" s="1">
        <f t="shared" si="5"/>
        <v>1624</v>
      </c>
      <c r="N100" t="str">
        <f t="shared" si="6"/>
        <v>BRETAGNE|35 - Ille-et-Vilaine|CA Vitré Communauté</v>
      </c>
      <c r="O100" t="str">
        <f t="shared" si="7"/>
        <v>Province</v>
      </c>
    </row>
    <row r="101" spans="1:15" x14ac:dyDescent="0.25">
      <c r="A101" t="s">
        <v>209</v>
      </c>
      <c r="B101" t="str">
        <f t="shared" si="4"/>
        <v>Ille-et-Vilaine</v>
      </c>
      <c r="C101" t="s">
        <v>239</v>
      </c>
      <c r="D101" t="s">
        <v>248</v>
      </c>
      <c r="E101" t="s">
        <v>249</v>
      </c>
      <c r="F101" t="s">
        <v>1093</v>
      </c>
      <c r="G101" t="s">
        <v>21</v>
      </c>
      <c r="H101" s="5">
        <v>8768</v>
      </c>
      <c r="I101" s="1">
        <v>13308</v>
      </c>
      <c r="J101" s="1">
        <v>18840</v>
      </c>
      <c r="K101" s="1">
        <f t="shared" si="5"/>
        <v>731</v>
      </c>
      <c r="L101" s="1">
        <f t="shared" si="5"/>
        <v>1109</v>
      </c>
      <c r="M101" s="1">
        <f t="shared" si="5"/>
        <v>1570</v>
      </c>
      <c r="N101" t="str">
        <f t="shared" si="6"/>
        <v>BRETAGNE|35 - Ille-et-Vilaine|Rennes Métropole</v>
      </c>
      <c r="O101" t="str">
        <f t="shared" si="7"/>
        <v>Province</v>
      </c>
    </row>
    <row r="102" spans="1:15" x14ac:dyDescent="0.25">
      <c r="A102" t="s">
        <v>209</v>
      </c>
      <c r="B102" t="str">
        <f t="shared" si="4"/>
        <v>Morbihan</v>
      </c>
      <c r="C102" t="s">
        <v>251</v>
      </c>
      <c r="D102" t="s">
        <v>252</v>
      </c>
      <c r="E102" t="s">
        <v>253</v>
      </c>
      <c r="F102" t="s">
        <v>1093</v>
      </c>
      <c r="G102" t="s">
        <v>21</v>
      </c>
      <c r="H102" s="5">
        <v>12192</v>
      </c>
      <c r="I102" s="1">
        <v>16173</v>
      </c>
      <c r="J102" s="1">
        <v>20400</v>
      </c>
      <c r="K102" s="1">
        <f t="shared" si="5"/>
        <v>1016</v>
      </c>
      <c r="L102" s="1">
        <f t="shared" si="5"/>
        <v>1348</v>
      </c>
      <c r="M102" s="1">
        <f t="shared" si="5"/>
        <v>1700</v>
      </c>
      <c r="N102" t="str">
        <f t="shared" si="6"/>
        <v>BRETAGNE|56 - Morbihan|CA de la Presqu'île de Guérande Atlantique (Cap Atlantique)</v>
      </c>
      <c r="O102" t="str">
        <f t="shared" si="7"/>
        <v>Province</v>
      </c>
    </row>
    <row r="103" spans="1:15" x14ac:dyDescent="0.25">
      <c r="A103" t="s">
        <v>209</v>
      </c>
      <c r="B103" t="str">
        <f t="shared" si="4"/>
        <v>Morbihan</v>
      </c>
      <c r="C103" t="s">
        <v>251</v>
      </c>
      <c r="D103" t="s">
        <v>254</v>
      </c>
      <c r="E103" t="s">
        <v>255</v>
      </c>
      <c r="F103" t="s">
        <v>1093</v>
      </c>
      <c r="G103" t="s">
        <v>21</v>
      </c>
      <c r="H103" s="5">
        <v>11047</v>
      </c>
      <c r="I103" s="1">
        <v>14861</v>
      </c>
      <c r="J103" s="1">
        <v>19802</v>
      </c>
      <c r="K103" s="1">
        <f t="shared" si="5"/>
        <v>921</v>
      </c>
      <c r="L103" s="1">
        <f t="shared" si="5"/>
        <v>1238</v>
      </c>
      <c r="M103" s="1">
        <f t="shared" si="5"/>
        <v>1650</v>
      </c>
      <c r="N103" t="str">
        <f t="shared" si="6"/>
        <v>BRETAGNE|56 - Morbihan|CA Golfe du Morbihan - Vannes Agglomération</v>
      </c>
      <c r="O103" t="str">
        <f t="shared" si="7"/>
        <v>Province</v>
      </c>
    </row>
    <row r="104" spans="1:15" x14ac:dyDescent="0.25">
      <c r="A104" t="s">
        <v>209</v>
      </c>
      <c r="B104" t="str">
        <f t="shared" si="4"/>
        <v>Morbihan</v>
      </c>
      <c r="C104" t="s">
        <v>251</v>
      </c>
      <c r="D104" t="s">
        <v>256</v>
      </c>
      <c r="E104" t="s">
        <v>257</v>
      </c>
      <c r="F104" t="s">
        <v>1093</v>
      </c>
      <c r="G104" t="s">
        <v>21</v>
      </c>
      <c r="H104" s="5">
        <v>10093</v>
      </c>
      <c r="I104" s="1">
        <v>13644</v>
      </c>
      <c r="J104" s="1">
        <v>18864</v>
      </c>
      <c r="K104" s="1">
        <f t="shared" si="5"/>
        <v>841</v>
      </c>
      <c r="L104" s="1">
        <f t="shared" si="5"/>
        <v>1137</v>
      </c>
      <c r="M104" s="1">
        <f t="shared" si="5"/>
        <v>1572</v>
      </c>
      <c r="N104" t="str">
        <f t="shared" si="6"/>
        <v>BRETAGNE|56 - Morbihan|CA Lorient Agglomération</v>
      </c>
      <c r="O104" t="str">
        <f t="shared" si="7"/>
        <v>Province</v>
      </c>
    </row>
    <row r="105" spans="1:15" x14ac:dyDescent="0.25">
      <c r="A105" t="s">
        <v>209</v>
      </c>
      <c r="B105" t="str">
        <f t="shared" si="4"/>
        <v>Morbihan</v>
      </c>
      <c r="C105" t="s">
        <v>251</v>
      </c>
      <c r="D105" t="s">
        <v>244</v>
      </c>
      <c r="E105" t="s">
        <v>245</v>
      </c>
      <c r="F105" t="s">
        <v>1093</v>
      </c>
      <c r="G105" t="s">
        <v>21</v>
      </c>
      <c r="H105" s="5">
        <v>9535</v>
      </c>
      <c r="I105" s="1">
        <v>12615</v>
      </c>
      <c r="J105" s="1">
        <v>16944</v>
      </c>
      <c r="K105" s="1">
        <f t="shared" si="5"/>
        <v>795</v>
      </c>
      <c r="L105" s="1">
        <f t="shared" si="5"/>
        <v>1051</v>
      </c>
      <c r="M105" s="1">
        <f t="shared" si="5"/>
        <v>1412</v>
      </c>
      <c r="N105" t="str">
        <f t="shared" si="6"/>
        <v>BRETAGNE|56 - Morbihan|CA Redon Agglomération</v>
      </c>
      <c r="O105" t="str">
        <f t="shared" si="7"/>
        <v>Province</v>
      </c>
    </row>
    <row r="106" spans="1:15" x14ac:dyDescent="0.25">
      <c r="A106" t="s">
        <v>209</v>
      </c>
      <c r="B106" t="str">
        <f t="shared" si="4"/>
        <v>Morbihan</v>
      </c>
      <c r="C106" t="s">
        <v>251</v>
      </c>
      <c r="D106" t="s">
        <v>258</v>
      </c>
      <c r="E106" t="s">
        <v>259</v>
      </c>
      <c r="F106" t="s">
        <v>1093</v>
      </c>
      <c r="G106" t="s">
        <v>21</v>
      </c>
      <c r="H106" s="5">
        <v>11121</v>
      </c>
      <c r="I106" s="1">
        <v>15010</v>
      </c>
      <c r="J106" s="1">
        <v>19695</v>
      </c>
      <c r="K106" s="1">
        <f t="shared" si="5"/>
        <v>927</v>
      </c>
      <c r="L106" s="1">
        <f t="shared" si="5"/>
        <v>1251</v>
      </c>
      <c r="M106" s="1">
        <f t="shared" si="5"/>
        <v>1641</v>
      </c>
      <c r="N106" t="str">
        <f t="shared" si="6"/>
        <v>BRETAGNE|56 - Morbihan|CC Auray Quiberon Terre Atlantique</v>
      </c>
      <c r="O106" t="str">
        <f t="shared" si="7"/>
        <v>Province</v>
      </c>
    </row>
    <row r="107" spans="1:15" x14ac:dyDescent="0.25">
      <c r="A107" t="s">
        <v>209</v>
      </c>
      <c r="B107" t="str">
        <f t="shared" si="4"/>
        <v>Morbihan</v>
      </c>
      <c r="C107" t="s">
        <v>251</v>
      </c>
      <c r="D107" t="s">
        <v>222</v>
      </c>
      <c r="E107" t="s">
        <v>223</v>
      </c>
      <c r="F107" t="s">
        <v>1093</v>
      </c>
      <c r="G107" t="s">
        <v>21</v>
      </c>
      <c r="H107" s="5">
        <v>10320</v>
      </c>
      <c r="I107" s="1">
        <v>13547</v>
      </c>
      <c r="J107" s="1">
        <v>18252</v>
      </c>
      <c r="K107" s="1">
        <f t="shared" si="5"/>
        <v>860</v>
      </c>
      <c r="L107" s="1">
        <f t="shared" si="5"/>
        <v>1129</v>
      </c>
      <c r="M107" s="1">
        <f t="shared" si="5"/>
        <v>1521</v>
      </c>
      <c r="N107" t="str">
        <f t="shared" si="6"/>
        <v>BRETAGNE|56 - Morbihan|CC Pontivy Communauté</v>
      </c>
      <c r="O107" t="str">
        <f t="shared" si="7"/>
        <v>Province</v>
      </c>
    </row>
    <row r="108" spans="1:15" x14ac:dyDescent="0.25">
      <c r="A108" t="s">
        <v>209</v>
      </c>
      <c r="B108" t="str">
        <f t="shared" si="4"/>
        <v>Morbihan</v>
      </c>
      <c r="C108" t="s">
        <v>251</v>
      </c>
      <c r="D108" t="s">
        <v>260</v>
      </c>
      <c r="E108" t="s">
        <v>261</v>
      </c>
      <c r="F108" t="s">
        <v>1093</v>
      </c>
      <c r="G108" t="s">
        <v>21</v>
      </c>
      <c r="H108" s="5">
        <v>9117</v>
      </c>
      <c r="I108" s="1">
        <v>12420</v>
      </c>
      <c r="J108" s="1">
        <v>16800</v>
      </c>
      <c r="K108" s="1">
        <f t="shared" si="5"/>
        <v>760</v>
      </c>
      <c r="L108" s="1">
        <f t="shared" si="5"/>
        <v>1035</v>
      </c>
      <c r="M108" s="1">
        <f t="shared" si="5"/>
        <v>1400</v>
      </c>
      <c r="N108" t="str">
        <f t="shared" si="6"/>
        <v>BRETAGNE|56 - Morbihan|Ploërmel Communauté</v>
      </c>
      <c r="O108" t="str">
        <f t="shared" si="7"/>
        <v>Province</v>
      </c>
    </row>
    <row r="109" spans="1:15" x14ac:dyDescent="0.25">
      <c r="A109" t="s">
        <v>262</v>
      </c>
      <c r="B109" t="str">
        <f t="shared" si="4"/>
        <v>Cher</v>
      </c>
      <c r="C109" t="s">
        <v>264</v>
      </c>
      <c r="D109" t="s">
        <v>265</v>
      </c>
      <c r="E109" t="s">
        <v>266</v>
      </c>
      <c r="F109" t="s">
        <v>1093</v>
      </c>
      <c r="G109" t="s">
        <v>21</v>
      </c>
      <c r="H109" s="5">
        <v>8637</v>
      </c>
      <c r="I109" s="1">
        <v>12576</v>
      </c>
      <c r="J109" s="1">
        <v>18000</v>
      </c>
      <c r="K109" s="1">
        <f t="shared" si="5"/>
        <v>720</v>
      </c>
      <c r="L109" s="1">
        <f t="shared" si="5"/>
        <v>1048</v>
      </c>
      <c r="M109" s="1">
        <f t="shared" si="5"/>
        <v>1500</v>
      </c>
      <c r="N109" t="str">
        <f t="shared" si="6"/>
        <v>CENTRE-VAL DE LOIRE|18 - Cher|CA Bourges Plus</v>
      </c>
      <c r="O109" t="str">
        <f t="shared" si="7"/>
        <v>Province</v>
      </c>
    </row>
    <row r="110" spans="1:15" x14ac:dyDescent="0.25">
      <c r="A110" t="s">
        <v>262</v>
      </c>
      <c r="B110" t="str">
        <f t="shared" si="4"/>
        <v>Cher</v>
      </c>
      <c r="C110" t="s">
        <v>264</v>
      </c>
      <c r="D110" t="s">
        <v>267</v>
      </c>
      <c r="E110" t="s">
        <v>268</v>
      </c>
      <c r="F110" t="s">
        <v>1093</v>
      </c>
      <c r="G110" t="s">
        <v>21</v>
      </c>
      <c r="H110" s="5">
        <v>9057</v>
      </c>
      <c r="I110" s="1">
        <v>12804</v>
      </c>
      <c r="J110" s="1">
        <v>17298</v>
      </c>
      <c r="K110" s="1">
        <f t="shared" si="5"/>
        <v>755</v>
      </c>
      <c r="L110" s="1">
        <f t="shared" si="5"/>
        <v>1067</v>
      </c>
      <c r="M110" s="1">
        <f t="shared" si="5"/>
        <v>1442</v>
      </c>
      <c r="N110" t="str">
        <f t="shared" si="6"/>
        <v>CENTRE-VAL DE LOIRE|18 - Cher|CC Coeur de France</v>
      </c>
      <c r="O110" t="str">
        <f t="shared" si="7"/>
        <v>Province</v>
      </c>
    </row>
    <row r="111" spans="1:15" x14ac:dyDescent="0.25">
      <c r="A111" t="s">
        <v>262</v>
      </c>
      <c r="B111" t="str">
        <f t="shared" si="4"/>
        <v>Cher</v>
      </c>
      <c r="C111" t="s">
        <v>264</v>
      </c>
      <c r="D111" t="s">
        <v>269</v>
      </c>
      <c r="E111" t="s">
        <v>270</v>
      </c>
      <c r="F111" t="s">
        <v>1093</v>
      </c>
      <c r="G111" t="s">
        <v>21</v>
      </c>
      <c r="H111" s="5">
        <v>7623</v>
      </c>
      <c r="I111" s="1">
        <v>12012</v>
      </c>
      <c r="J111" s="1">
        <v>16584</v>
      </c>
      <c r="K111" s="1">
        <f t="shared" si="5"/>
        <v>635</v>
      </c>
      <c r="L111" s="1">
        <f t="shared" si="5"/>
        <v>1001</v>
      </c>
      <c r="M111" s="1">
        <f t="shared" si="5"/>
        <v>1382</v>
      </c>
      <c r="N111" t="str">
        <f t="shared" si="6"/>
        <v>CENTRE-VAL DE LOIRE|18 - Cher|CC Vierzon-Sologne-Berry</v>
      </c>
      <c r="O111" t="str">
        <f t="shared" si="7"/>
        <v>Province</v>
      </c>
    </row>
    <row r="112" spans="1:15" x14ac:dyDescent="0.25">
      <c r="A112" t="s">
        <v>262</v>
      </c>
      <c r="B112" t="str">
        <f t="shared" si="4"/>
        <v>Eure-et-Loir</v>
      </c>
      <c r="C112" t="s">
        <v>272</v>
      </c>
      <c r="D112" t="s">
        <v>273</v>
      </c>
      <c r="E112" t="s">
        <v>274</v>
      </c>
      <c r="F112" t="s">
        <v>1093</v>
      </c>
      <c r="G112" t="s">
        <v>21</v>
      </c>
      <c r="H112" s="5">
        <v>9688</v>
      </c>
      <c r="I112" s="1">
        <v>13800</v>
      </c>
      <c r="J112" s="1">
        <v>18816</v>
      </c>
      <c r="K112" s="1">
        <f t="shared" si="5"/>
        <v>807</v>
      </c>
      <c r="L112" s="1">
        <f t="shared" si="5"/>
        <v>1150</v>
      </c>
      <c r="M112" s="1">
        <f t="shared" si="5"/>
        <v>1568</v>
      </c>
      <c r="N112" t="str">
        <f t="shared" si="6"/>
        <v>CENTRE-VAL DE LOIRE|28 - Eure-et-Loir|CA Agglo du Pays de Dreux</v>
      </c>
      <c r="O112" t="str">
        <f t="shared" si="7"/>
        <v>Province</v>
      </c>
    </row>
    <row r="113" spans="1:15" x14ac:dyDescent="0.25">
      <c r="A113" t="s">
        <v>262</v>
      </c>
      <c r="B113" t="str">
        <f t="shared" si="4"/>
        <v>Eure-et-Loir</v>
      </c>
      <c r="C113" t="s">
        <v>272</v>
      </c>
      <c r="D113" t="s">
        <v>275</v>
      </c>
      <c r="E113" t="s">
        <v>276</v>
      </c>
      <c r="F113" t="s">
        <v>1093</v>
      </c>
      <c r="G113" t="s">
        <v>21</v>
      </c>
      <c r="H113" s="5">
        <v>11052</v>
      </c>
      <c r="I113" s="1">
        <v>15600</v>
      </c>
      <c r="J113" s="1">
        <v>20604</v>
      </c>
      <c r="K113" s="1">
        <f t="shared" si="5"/>
        <v>921</v>
      </c>
      <c r="L113" s="1">
        <f t="shared" si="5"/>
        <v>1300</v>
      </c>
      <c r="M113" s="1">
        <f t="shared" si="5"/>
        <v>1717</v>
      </c>
      <c r="N113" t="str">
        <f t="shared" si="6"/>
        <v>CENTRE-VAL DE LOIRE|28 - Eure-et-Loir|CA Chartres Métropole</v>
      </c>
      <c r="O113" t="str">
        <f t="shared" si="7"/>
        <v>Province</v>
      </c>
    </row>
    <row r="114" spans="1:15" x14ac:dyDescent="0.25">
      <c r="A114" t="s">
        <v>262</v>
      </c>
      <c r="B114" t="str">
        <f t="shared" si="4"/>
        <v>Eure-et-Loir</v>
      </c>
      <c r="C114" t="s">
        <v>272</v>
      </c>
      <c r="D114" t="s">
        <v>277</v>
      </c>
      <c r="E114" t="s">
        <v>278</v>
      </c>
      <c r="F114" t="s">
        <v>1093</v>
      </c>
      <c r="G114" t="s">
        <v>21</v>
      </c>
      <c r="H114" s="5">
        <v>8533</v>
      </c>
      <c r="I114" s="1">
        <v>12396</v>
      </c>
      <c r="J114" s="1">
        <v>17200</v>
      </c>
      <c r="K114" s="1">
        <f t="shared" si="5"/>
        <v>711</v>
      </c>
      <c r="L114" s="1">
        <f t="shared" si="5"/>
        <v>1033</v>
      </c>
      <c r="M114" s="1">
        <f t="shared" si="5"/>
        <v>1433</v>
      </c>
      <c r="N114" t="str">
        <f t="shared" si="6"/>
        <v>CENTRE-VAL DE LOIRE|28 - Eure-et-Loir|CC du Grand Châteaudun</v>
      </c>
      <c r="O114" t="str">
        <f t="shared" si="7"/>
        <v>Province</v>
      </c>
    </row>
    <row r="115" spans="1:15" x14ac:dyDescent="0.25">
      <c r="A115" t="s">
        <v>262</v>
      </c>
      <c r="B115" t="str">
        <f t="shared" si="4"/>
        <v>Eure-et-Loir</v>
      </c>
      <c r="C115" t="s">
        <v>272</v>
      </c>
      <c r="D115" t="s">
        <v>279</v>
      </c>
      <c r="E115" t="s">
        <v>280</v>
      </c>
      <c r="F115" t="s">
        <v>1093</v>
      </c>
      <c r="G115" t="s">
        <v>21</v>
      </c>
      <c r="H115" s="5">
        <v>8603</v>
      </c>
      <c r="I115" s="1">
        <v>12888</v>
      </c>
      <c r="J115" s="1">
        <v>18443</v>
      </c>
      <c r="K115" s="1">
        <f t="shared" si="5"/>
        <v>717</v>
      </c>
      <c r="L115" s="1">
        <f t="shared" si="5"/>
        <v>1074</v>
      </c>
      <c r="M115" s="1">
        <f t="shared" si="5"/>
        <v>1537</v>
      </c>
      <c r="N115" t="str">
        <f t="shared" si="6"/>
        <v>CENTRE-VAL DE LOIRE|28 - Eure-et-Loir|CC du Perche</v>
      </c>
      <c r="O115" t="str">
        <f t="shared" si="7"/>
        <v>Province</v>
      </c>
    </row>
    <row r="116" spans="1:15" x14ac:dyDescent="0.25">
      <c r="A116" t="s">
        <v>262</v>
      </c>
      <c r="B116" t="str">
        <f t="shared" si="4"/>
        <v>Indre</v>
      </c>
      <c r="C116" t="s">
        <v>282</v>
      </c>
      <c r="D116" t="s">
        <v>283</v>
      </c>
      <c r="E116" t="s">
        <v>284</v>
      </c>
      <c r="F116" t="s">
        <v>1093</v>
      </c>
      <c r="G116" t="s">
        <v>21</v>
      </c>
      <c r="H116" s="5">
        <v>8520</v>
      </c>
      <c r="I116" s="1">
        <v>12468</v>
      </c>
      <c r="J116" s="1">
        <v>17976</v>
      </c>
      <c r="K116" s="1">
        <f t="shared" si="5"/>
        <v>710</v>
      </c>
      <c r="L116" s="1">
        <f t="shared" si="5"/>
        <v>1039</v>
      </c>
      <c r="M116" s="1">
        <f t="shared" si="5"/>
        <v>1498</v>
      </c>
      <c r="N116" t="str">
        <f t="shared" si="6"/>
        <v>CENTRE-VAL DE LOIRE|36 - Indre|CA Châteauroux Métropole</v>
      </c>
      <c r="O116" t="str">
        <f t="shared" si="7"/>
        <v>Province</v>
      </c>
    </row>
    <row r="117" spans="1:15" x14ac:dyDescent="0.25">
      <c r="A117" t="s">
        <v>262</v>
      </c>
      <c r="B117" t="str">
        <f t="shared" si="4"/>
        <v>Indre-et-Loire</v>
      </c>
      <c r="C117" t="s">
        <v>286</v>
      </c>
      <c r="D117" t="s">
        <v>287</v>
      </c>
      <c r="E117" t="s">
        <v>288</v>
      </c>
      <c r="F117" t="s">
        <v>1093</v>
      </c>
      <c r="G117" t="s">
        <v>21</v>
      </c>
      <c r="H117" s="5">
        <v>11118</v>
      </c>
      <c r="I117" s="1">
        <v>15288</v>
      </c>
      <c r="J117" s="1">
        <v>19276</v>
      </c>
      <c r="K117" s="1">
        <f t="shared" si="5"/>
        <v>927</v>
      </c>
      <c r="L117" s="1">
        <f t="shared" si="5"/>
        <v>1274</v>
      </c>
      <c r="M117" s="1">
        <f t="shared" si="5"/>
        <v>1606</v>
      </c>
      <c r="N117" t="str">
        <f t="shared" si="6"/>
        <v>CENTRE-VAL DE LOIRE|37 - Indre-et-Loire|CC du Val d'Amboise</v>
      </c>
      <c r="O117" t="str">
        <f t="shared" si="7"/>
        <v>Province</v>
      </c>
    </row>
    <row r="118" spans="1:15" x14ac:dyDescent="0.25">
      <c r="A118" t="s">
        <v>262</v>
      </c>
      <c r="B118" t="str">
        <f t="shared" si="4"/>
        <v>Indre-et-Loire</v>
      </c>
      <c r="C118" t="s">
        <v>286</v>
      </c>
      <c r="D118" t="s">
        <v>289</v>
      </c>
      <c r="E118" t="s">
        <v>290</v>
      </c>
      <c r="F118" t="s">
        <v>1093</v>
      </c>
      <c r="G118" t="s">
        <v>21</v>
      </c>
      <c r="H118" s="5">
        <v>11880</v>
      </c>
      <c r="I118" s="1">
        <v>15960</v>
      </c>
      <c r="J118" s="1">
        <v>20550</v>
      </c>
      <c r="K118" s="1">
        <f t="shared" si="5"/>
        <v>990</v>
      </c>
      <c r="L118" s="1">
        <f t="shared" si="5"/>
        <v>1330</v>
      </c>
      <c r="M118" s="1">
        <f t="shared" si="5"/>
        <v>1713</v>
      </c>
      <c r="N118" t="str">
        <f t="shared" si="6"/>
        <v>CENTRE-VAL DE LOIRE|37 - Indre-et-Loire|CC Touraine-Est Vallées</v>
      </c>
      <c r="O118" t="str">
        <f t="shared" si="7"/>
        <v>Province</v>
      </c>
    </row>
    <row r="119" spans="1:15" x14ac:dyDescent="0.25">
      <c r="A119" t="s">
        <v>262</v>
      </c>
      <c r="B119" t="str">
        <f t="shared" si="4"/>
        <v>Indre-et-Loire</v>
      </c>
      <c r="C119" t="s">
        <v>286</v>
      </c>
      <c r="D119" t="s">
        <v>291</v>
      </c>
      <c r="E119" t="s">
        <v>292</v>
      </c>
      <c r="F119" t="s">
        <v>1093</v>
      </c>
      <c r="G119" t="s">
        <v>21</v>
      </c>
      <c r="H119" s="5">
        <v>10152</v>
      </c>
      <c r="I119" s="1">
        <v>14148</v>
      </c>
      <c r="J119" s="1">
        <v>19587</v>
      </c>
      <c r="K119" s="1">
        <f t="shared" si="5"/>
        <v>846</v>
      </c>
      <c r="L119" s="1">
        <f t="shared" si="5"/>
        <v>1179</v>
      </c>
      <c r="M119" s="1">
        <f t="shared" si="5"/>
        <v>1632</v>
      </c>
      <c r="N119" t="str">
        <f t="shared" si="6"/>
        <v>CENTRE-VAL DE LOIRE|37 - Indre-et-Loire|Tours Métropole Val de Loire</v>
      </c>
      <c r="O119" t="str">
        <f t="shared" si="7"/>
        <v>Province</v>
      </c>
    </row>
    <row r="120" spans="1:15" x14ac:dyDescent="0.25">
      <c r="A120" t="s">
        <v>262</v>
      </c>
      <c r="B120" t="str">
        <f t="shared" si="4"/>
        <v>Loir-et-Cher</v>
      </c>
      <c r="C120" t="s">
        <v>294</v>
      </c>
      <c r="D120" t="s">
        <v>295</v>
      </c>
      <c r="E120" t="s">
        <v>296</v>
      </c>
      <c r="F120" t="s">
        <v>1093</v>
      </c>
      <c r="G120" t="s">
        <v>21</v>
      </c>
      <c r="H120" s="5">
        <v>9300</v>
      </c>
      <c r="I120" s="1">
        <v>13273</v>
      </c>
      <c r="J120" s="1">
        <v>18440</v>
      </c>
      <c r="K120" s="1">
        <f t="shared" si="5"/>
        <v>775</v>
      </c>
      <c r="L120" s="1">
        <f t="shared" si="5"/>
        <v>1106</v>
      </c>
      <c r="M120" s="1">
        <f t="shared" si="5"/>
        <v>1537</v>
      </c>
      <c r="N120" t="str">
        <f t="shared" si="6"/>
        <v>CENTRE-VAL DE LOIRE|41 - Loir-et-Cher|CA de Blois ''Agglopolys''</v>
      </c>
      <c r="O120" t="str">
        <f t="shared" si="7"/>
        <v>Province</v>
      </c>
    </row>
    <row r="121" spans="1:15" x14ac:dyDescent="0.25">
      <c r="A121" t="s">
        <v>262</v>
      </c>
      <c r="B121" t="str">
        <f t="shared" si="4"/>
        <v>Loir-et-Cher</v>
      </c>
      <c r="C121" t="s">
        <v>294</v>
      </c>
      <c r="D121" t="s">
        <v>297</v>
      </c>
      <c r="E121" t="s">
        <v>298</v>
      </c>
      <c r="F121" t="s">
        <v>1093</v>
      </c>
      <c r="G121" t="s">
        <v>21</v>
      </c>
      <c r="H121" s="5">
        <v>9107</v>
      </c>
      <c r="I121" s="1">
        <v>12728</v>
      </c>
      <c r="J121" s="1">
        <v>18018</v>
      </c>
      <c r="K121" s="1">
        <f t="shared" si="5"/>
        <v>759</v>
      </c>
      <c r="L121" s="1">
        <f t="shared" si="5"/>
        <v>1061</v>
      </c>
      <c r="M121" s="1">
        <f t="shared" si="5"/>
        <v>1502</v>
      </c>
      <c r="N121" t="str">
        <f t="shared" si="6"/>
        <v>CENTRE-VAL DE LOIRE|41 - Loir-et-Cher|CA Territoires Vendômois</v>
      </c>
      <c r="O121" t="str">
        <f t="shared" si="7"/>
        <v>Province</v>
      </c>
    </row>
    <row r="122" spans="1:15" x14ac:dyDescent="0.25">
      <c r="A122" t="s">
        <v>262</v>
      </c>
      <c r="B122" t="str">
        <f t="shared" si="4"/>
        <v>Loir-et-Cher</v>
      </c>
      <c r="C122" t="s">
        <v>294</v>
      </c>
      <c r="D122" t="s">
        <v>299</v>
      </c>
      <c r="E122" t="s">
        <v>300</v>
      </c>
      <c r="F122" t="s">
        <v>1093</v>
      </c>
      <c r="G122" t="s">
        <v>21</v>
      </c>
      <c r="H122" s="5">
        <v>8807</v>
      </c>
      <c r="I122" s="1">
        <v>12396</v>
      </c>
      <c r="J122" s="1">
        <v>17386</v>
      </c>
      <c r="K122" s="1">
        <f t="shared" si="5"/>
        <v>734</v>
      </c>
      <c r="L122" s="1">
        <f t="shared" si="5"/>
        <v>1033</v>
      </c>
      <c r="M122" s="1">
        <f t="shared" si="5"/>
        <v>1449</v>
      </c>
      <c r="N122" t="str">
        <f t="shared" si="6"/>
        <v>CENTRE-VAL DE LOIRE|41 - Loir-et-Cher|CC du Romorantinais et du Monestois</v>
      </c>
      <c r="O122" t="str">
        <f t="shared" si="7"/>
        <v>Province</v>
      </c>
    </row>
    <row r="123" spans="1:15" x14ac:dyDescent="0.25">
      <c r="A123" t="s">
        <v>262</v>
      </c>
      <c r="B123" t="str">
        <f t="shared" si="4"/>
        <v>Loiret</v>
      </c>
      <c r="C123" t="s">
        <v>302</v>
      </c>
      <c r="D123" t="s">
        <v>303</v>
      </c>
      <c r="E123" t="s">
        <v>304</v>
      </c>
      <c r="F123" t="s">
        <v>1093</v>
      </c>
      <c r="G123" t="s">
        <v>21</v>
      </c>
      <c r="H123" s="5">
        <v>8769</v>
      </c>
      <c r="I123" s="1">
        <v>12748</v>
      </c>
      <c r="J123" s="1">
        <v>18000</v>
      </c>
      <c r="K123" s="1">
        <f t="shared" si="5"/>
        <v>731</v>
      </c>
      <c r="L123" s="1">
        <f t="shared" si="5"/>
        <v>1062</v>
      </c>
      <c r="M123" s="1">
        <f t="shared" si="5"/>
        <v>1500</v>
      </c>
      <c r="N123" t="str">
        <f t="shared" si="6"/>
        <v>CENTRE-VAL DE LOIRE|45 - Loiret|CA Montargoise et Rives du Loing (AME)</v>
      </c>
      <c r="O123" t="str">
        <f t="shared" si="7"/>
        <v>Province</v>
      </c>
    </row>
    <row r="124" spans="1:15" x14ac:dyDescent="0.25">
      <c r="A124" t="s">
        <v>262</v>
      </c>
      <c r="B124" t="str">
        <f t="shared" si="4"/>
        <v>Loiret</v>
      </c>
      <c r="C124" t="s">
        <v>302</v>
      </c>
      <c r="D124" t="s">
        <v>305</v>
      </c>
      <c r="E124" t="s">
        <v>306</v>
      </c>
      <c r="F124" t="s">
        <v>1093</v>
      </c>
      <c r="G124" t="s">
        <v>21</v>
      </c>
      <c r="H124" s="5">
        <v>9869</v>
      </c>
      <c r="I124" s="1">
        <v>13222</v>
      </c>
      <c r="J124" s="1">
        <v>18638</v>
      </c>
      <c r="K124" s="1">
        <f t="shared" si="5"/>
        <v>822</v>
      </c>
      <c r="L124" s="1">
        <f t="shared" si="5"/>
        <v>1102</v>
      </c>
      <c r="M124" s="1">
        <f t="shared" si="5"/>
        <v>1553</v>
      </c>
      <c r="N124" t="str">
        <f t="shared" si="6"/>
        <v>CENTRE-VAL DE LOIRE|45 - Loiret|CC du Pithiverais</v>
      </c>
      <c r="O124" t="str">
        <f t="shared" si="7"/>
        <v>Province</v>
      </c>
    </row>
    <row r="125" spans="1:15" x14ac:dyDescent="0.25">
      <c r="A125" t="s">
        <v>262</v>
      </c>
      <c r="B125" t="str">
        <f t="shared" si="4"/>
        <v>Loiret</v>
      </c>
      <c r="C125" t="s">
        <v>302</v>
      </c>
      <c r="D125" t="s">
        <v>307</v>
      </c>
      <c r="E125" t="s">
        <v>308</v>
      </c>
      <c r="F125" t="s">
        <v>1093</v>
      </c>
      <c r="G125" t="s">
        <v>21</v>
      </c>
      <c r="H125" s="5">
        <v>9643</v>
      </c>
      <c r="I125" s="1">
        <v>13992</v>
      </c>
      <c r="J125" s="1">
        <v>19200</v>
      </c>
      <c r="K125" s="1">
        <f t="shared" si="5"/>
        <v>804</v>
      </c>
      <c r="L125" s="1">
        <f t="shared" si="5"/>
        <v>1166</v>
      </c>
      <c r="M125" s="1">
        <f t="shared" si="5"/>
        <v>1600</v>
      </c>
      <c r="N125" t="str">
        <f t="shared" si="6"/>
        <v>CENTRE-VAL DE LOIRE|45 - Loiret|CC du Val de Sully</v>
      </c>
      <c r="O125" t="str">
        <f t="shared" si="7"/>
        <v>Province</v>
      </c>
    </row>
    <row r="126" spans="1:15" x14ac:dyDescent="0.25">
      <c r="A126" t="s">
        <v>262</v>
      </c>
      <c r="B126" t="str">
        <f t="shared" si="4"/>
        <v>Loiret</v>
      </c>
      <c r="C126" t="s">
        <v>302</v>
      </c>
      <c r="D126" t="s">
        <v>309</v>
      </c>
      <c r="E126" t="s">
        <v>310</v>
      </c>
      <c r="F126" t="s">
        <v>1093</v>
      </c>
      <c r="G126" t="s">
        <v>21</v>
      </c>
      <c r="H126" s="5">
        <v>8320</v>
      </c>
      <c r="I126" s="1">
        <v>12837</v>
      </c>
      <c r="J126" s="1">
        <v>17292</v>
      </c>
      <c r="K126" s="1">
        <f t="shared" si="5"/>
        <v>693</v>
      </c>
      <c r="L126" s="1">
        <f t="shared" si="5"/>
        <v>1070</v>
      </c>
      <c r="M126" s="1">
        <f t="shared" si="5"/>
        <v>1441</v>
      </c>
      <c r="N126" t="str">
        <f t="shared" si="6"/>
        <v>CENTRE-VAL DE LOIRE|45 - Loiret|CC Giennoises</v>
      </c>
      <c r="O126" t="str">
        <f t="shared" si="7"/>
        <v>Province</v>
      </c>
    </row>
    <row r="127" spans="1:15" x14ac:dyDescent="0.25">
      <c r="A127" t="s">
        <v>262</v>
      </c>
      <c r="B127" t="str">
        <f t="shared" si="4"/>
        <v>Loiret</v>
      </c>
      <c r="C127" t="s">
        <v>302</v>
      </c>
      <c r="D127" t="s">
        <v>311</v>
      </c>
      <c r="E127" t="s">
        <v>312</v>
      </c>
      <c r="F127" t="s">
        <v>1093</v>
      </c>
      <c r="G127" t="s">
        <v>21</v>
      </c>
      <c r="H127" s="5">
        <v>10289</v>
      </c>
      <c r="I127" s="1">
        <v>14668</v>
      </c>
      <c r="J127" s="1">
        <v>19699</v>
      </c>
      <c r="K127" s="1">
        <f t="shared" si="5"/>
        <v>857</v>
      </c>
      <c r="L127" s="1">
        <f t="shared" si="5"/>
        <v>1222</v>
      </c>
      <c r="M127" s="1">
        <f t="shared" si="5"/>
        <v>1642</v>
      </c>
      <c r="N127" t="str">
        <f t="shared" si="6"/>
        <v>CENTRE-VAL DE LOIRE|45 - Loiret|Orléans Métropole</v>
      </c>
      <c r="O127" t="str">
        <f t="shared" si="7"/>
        <v>Province</v>
      </c>
    </row>
    <row r="128" spans="1:15" x14ac:dyDescent="0.25">
      <c r="A128" t="s">
        <v>313</v>
      </c>
      <c r="B128" t="str">
        <f t="shared" si="4"/>
        <v>Corse-du-Sud</v>
      </c>
      <c r="C128" t="s">
        <v>315</v>
      </c>
      <c r="D128" t="s">
        <v>316</v>
      </c>
      <c r="E128" t="s">
        <v>317</v>
      </c>
      <c r="F128" t="s">
        <v>1093</v>
      </c>
      <c r="G128" t="s">
        <v>21</v>
      </c>
      <c r="H128" s="5">
        <v>10830</v>
      </c>
      <c r="I128" s="1">
        <v>14400</v>
      </c>
      <c r="J128" s="1">
        <v>19496</v>
      </c>
      <c r="K128" s="1">
        <f t="shared" si="5"/>
        <v>903</v>
      </c>
      <c r="L128" s="1">
        <f t="shared" si="5"/>
        <v>1200</v>
      </c>
      <c r="M128" s="1">
        <f t="shared" si="5"/>
        <v>1625</v>
      </c>
      <c r="N128" t="str">
        <f t="shared" si="6"/>
        <v>CORSE|2A - Corse-du-Sud|CA du Pays Ajaccien</v>
      </c>
      <c r="O128" t="str">
        <f t="shared" si="7"/>
        <v>Province</v>
      </c>
    </row>
    <row r="129" spans="1:15" x14ac:dyDescent="0.25">
      <c r="A129" t="s">
        <v>313</v>
      </c>
      <c r="B129" t="str">
        <f t="shared" si="4"/>
        <v>Corse-du-Sud</v>
      </c>
      <c r="C129" t="s">
        <v>315</v>
      </c>
      <c r="D129" t="s">
        <v>318</v>
      </c>
      <c r="E129" t="s">
        <v>319</v>
      </c>
      <c r="F129" t="s">
        <v>1093</v>
      </c>
      <c r="G129" t="s">
        <v>21</v>
      </c>
      <c r="H129" s="5">
        <v>10176</v>
      </c>
      <c r="I129" s="1">
        <v>13002</v>
      </c>
      <c r="J129" s="1">
        <v>17616</v>
      </c>
      <c r="K129" s="1">
        <f t="shared" si="5"/>
        <v>848</v>
      </c>
      <c r="L129" s="1">
        <f t="shared" si="5"/>
        <v>1084</v>
      </c>
      <c r="M129" s="1">
        <f t="shared" si="5"/>
        <v>1468</v>
      </c>
      <c r="N129" t="str">
        <f t="shared" si="6"/>
        <v>CORSE|2A - Corse-du-Sud|CC du Sud Corse</v>
      </c>
      <c r="O129" t="str">
        <f t="shared" si="7"/>
        <v>Province</v>
      </c>
    </row>
    <row r="130" spans="1:15" x14ac:dyDescent="0.25">
      <c r="A130" t="s">
        <v>313</v>
      </c>
      <c r="B130" t="str">
        <f t="shared" ref="B130:B193" si="8">MID(C130,6,LEN(C130))</f>
        <v>Haute-Corse</v>
      </c>
      <c r="C130" t="s">
        <v>321</v>
      </c>
      <c r="D130" t="s">
        <v>322</v>
      </c>
      <c r="E130" t="s">
        <v>323</v>
      </c>
      <c r="F130" t="s">
        <v>1093</v>
      </c>
      <c r="G130" t="s">
        <v>21</v>
      </c>
      <c r="H130" s="5">
        <v>10368</v>
      </c>
      <c r="I130" s="1">
        <v>12800</v>
      </c>
      <c r="J130" s="1">
        <v>17240</v>
      </c>
      <c r="K130" s="1">
        <f t="shared" ref="K130:M193" si="9">ROUND(H130/12,0)</f>
        <v>864</v>
      </c>
      <c r="L130" s="1">
        <f t="shared" si="9"/>
        <v>1067</v>
      </c>
      <c r="M130" s="1">
        <f t="shared" si="9"/>
        <v>1437</v>
      </c>
      <c r="N130" t="str">
        <f t="shared" ref="N130:N193" si="10">SUBSTITUTE(
   UPPER(SUBSTITUTE(TRIM(A130), CHAR(160), " ")) &amp; "|" &amp;
   SUBSTITUTE(TRIM(C130), CHAR(160), " ") &amp; "|" &amp;
   SUBSTITUTE(TRIM(D130), CHAR(160), " "),
   "–", "-"
)</f>
        <v>CORSE|2B - Haute-Corse|CA de Bastia</v>
      </c>
      <c r="O130" t="str">
        <f t="shared" ref="O130:O193" si="11">IF(A130="Hauts-de-France", "HDF",
IF(A130="Île-de-France", "IDF",
IF(OR(A130="Guadeloupe", A130="Martinique", A130="Guyane", A130="La Réunion", A130="Mayotte"), "OM", "Province")))</f>
        <v>Province</v>
      </c>
    </row>
    <row r="131" spans="1:15" x14ac:dyDescent="0.25">
      <c r="A131" t="s">
        <v>324</v>
      </c>
      <c r="B131" t="str">
        <f t="shared" si="8"/>
        <v>Ardennes</v>
      </c>
      <c r="C131" t="s">
        <v>326</v>
      </c>
      <c r="D131" t="s">
        <v>327</v>
      </c>
      <c r="E131" t="s">
        <v>328</v>
      </c>
      <c r="F131" t="s">
        <v>1093</v>
      </c>
      <c r="G131" t="s">
        <v>21</v>
      </c>
      <c r="H131" s="5">
        <v>8945</v>
      </c>
      <c r="I131" s="1">
        <v>13068</v>
      </c>
      <c r="J131" s="1">
        <v>18535</v>
      </c>
      <c r="K131" s="1">
        <f t="shared" si="9"/>
        <v>745</v>
      </c>
      <c r="L131" s="1">
        <f t="shared" si="9"/>
        <v>1089</v>
      </c>
      <c r="M131" s="1">
        <f t="shared" si="9"/>
        <v>1545</v>
      </c>
      <c r="N131" t="str">
        <f t="shared" si="10"/>
        <v>GRAND EST|08 - Ardennes|Ardenne Métropole</v>
      </c>
      <c r="O131" t="str">
        <f t="shared" si="11"/>
        <v>Province</v>
      </c>
    </row>
    <row r="132" spans="1:15" x14ac:dyDescent="0.25">
      <c r="A132" t="s">
        <v>324</v>
      </c>
      <c r="B132" t="str">
        <f t="shared" si="8"/>
        <v>Ardennes</v>
      </c>
      <c r="C132" t="s">
        <v>326</v>
      </c>
      <c r="D132" t="s">
        <v>329</v>
      </c>
      <c r="E132" t="s">
        <v>330</v>
      </c>
      <c r="F132" t="s">
        <v>1093</v>
      </c>
      <c r="G132" t="s">
        <v>21</v>
      </c>
      <c r="H132" s="5">
        <v>10255</v>
      </c>
      <c r="I132" s="1">
        <v>14454</v>
      </c>
      <c r="J132" s="1">
        <v>19920</v>
      </c>
      <c r="K132" s="1">
        <f t="shared" si="9"/>
        <v>855</v>
      </c>
      <c r="L132" s="1">
        <f t="shared" si="9"/>
        <v>1205</v>
      </c>
      <c r="M132" s="1">
        <f t="shared" si="9"/>
        <v>1660</v>
      </c>
      <c r="N132" t="str">
        <f t="shared" si="10"/>
        <v>GRAND EST|08 - Ardennes|CC du Pays Rethélois</v>
      </c>
      <c r="O132" t="str">
        <f t="shared" si="11"/>
        <v>Province</v>
      </c>
    </row>
    <row r="133" spans="1:15" x14ac:dyDescent="0.25">
      <c r="A133" t="s">
        <v>324</v>
      </c>
      <c r="B133" t="str">
        <f t="shared" si="8"/>
        <v>Aube</v>
      </c>
      <c r="C133" t="s">
        <v>332</v>
      </c>
      <c r="D133" t="s">
        <v>333</v>
      </c>
      <c r="E133" t="s">
        <v>334</v>
      </c>
      <c r="F133" t="s">
        <v>1093</v>
      </c>
      <c r="G133" t="s">
        <v>21</v>
      </c>
      <c r="H133" s="5">
        <v>8123</v>
      </c>
      <c r="I133" s="1">
        <v>12581</v>
      </c>
      <c r="J133" s="1">
        <v>18316</v>
      </c>
      <c r="K133" s="1">
        <f t="shared" si="9"/>
        <v>677</v>
      </c>
      <c r="L133" s="1">
        <f t="shared" si="9"/>
        <v>1048</v>
      </c>
      <c r="M133" s="1">
        <f t="shared" si="9"/>
        <v>1526</v>
      </c>
      <c r="N133" t="str">
        <f t="shared" si="10"/>
        <v>GRAND EST|10 - Aube|CA Troyes Champagne Métropole</v>
      </c>
      <c r="O133" t="str">
        <f t="shared" si="11"/>
        <v>Province</v>
      </c>
    </row>
    <row r="134" spans="1:15" x14ac:dyDescent="0.25">
      <c r="A134" t="s">
        <v>324</v>
      </c>
      <c r="B134" t="str">
        <f t="shared" si="8"/>
        <v>Aube</v>
      </c>
      <c r="C134" t="s">
        <v>332</v>
      </c>
      <c r="D134" t="s">
        <v>335</v>
      </c>
      <c r="E134" t="s">
        <v>336</v>
      </c>
      <c r="F134" t="s">
        <v>1093</v>
      </c>
      <c r="G134" t="s">
        <v>21</v>
      </c>
      <c r="H134" s="5">
        <v>8890</v>
      </c>
      <c r="I134" s="1">
        <v>12900</v>
      </c>
      <c r="J134" s="1">
        <v>17618</v>
      </c>
      <c r="K134" s="1">
        <f t="shared" si="9"/>
        <v>741</v>
      </c>
      <c r="L134" s="1">
        <f t="shared" si="9"/>
        <v>1075</v>
      </c>
      <c r="M134" s="1">
        <f t="shared" si="9"/>
        <v>1468</v>
      </c>
      <c r="N134" t="str">
        <f t="shared" si="10"/>
        <v>GRAND EST|10 - Aube|CC des Portes de Romilly sur Seine</v>
      </c>
      <c r="O134" t="str">
        <f t="shared" si="11"/>
        <v>Province</v>
      </c>
    </row>
    <row r="135" spans="1:15" x14ac:dyDescent="0.25">
      <c r="A135" t="s">
        <v>324</v>
      </c>
      <c r="B135" t="str">
        <f t="shared" si="8"/>
        <v>Marne</v>
      </c>
      <c r="C135" t="s">
        <v>338</v>
      </c>
      <c r="D135" t="s">
        <v>339</v>
      </c>
      <c r="E135" t="s">
        <v>340</v>
      </c>
      <c r="F135" t="s">
        <v>1093</v>
      </c>
      <c r="G135" t="s">
        <v>21</v>
      </c>
      <c r="H135" s="5">
        <v>10109</v>
      </c>
      <c r="I135" s="1">
        <v>14848</v>
      </c>
      <c r="J135" s="1">
        <v>20400</v>
      </c>
      <c r="K135" s="1">
        <f t="shared" si="9"/>
        <v>842</v>
      </c>
      <c r="L135" s="1">
        <f t="shared" si="9"/>
        <v>1237</v>
      </c>
      <c r="M135" s="1">
        <f t="shared" si="9"/>
        <v>1700</v>
      </c>
      <c r="N135" t="str">
        <f t="shared" si="10"/>
        <v>GRAND EST|51 - Marne|CA de Châlons-en-Champagne</v>
      </c>
      <c r="O135" t="str">
        <f t="shared" si="11"/>
        <v>Province</v>
      </c>
    </row>
    <row r="136" spans="1:15" x14ac:dyDescent="0.25">
      <c r="A136" t="s">
        <v>324</v>
      </c>
      <c r="B136" t="str">
        <f t="shared" si="8"/>
        <v>Marne</v>
      </c>
      <c r="C136" t="s">
        <v>338</v>
      </c>
      <c r="D136" t="s">
        <v>341</v>
      </c>
      <c r="E136" t="s">
        <v>342</v>
      </c>
      <c r="F136" t="s">
        <v>1093</v>
      </c>
      <c r="G136" t="s">
        <v>21</v>
      </c>
      <c r="H136" s="5">
        <v>10272</v>
      </c>
      <c r="I136" s="1">
        <v>13920</v>
      </c>
      <c r="J136" s="1">
        <v>19224</v>
      </c>
      <c r="K136" s="1">
        <f t="shared" si="9"/>
        <v>856</v>
      </c>
      <c r="L136" s="1">
        <f t="shared" si="9"/>
        <v>1160</v>
      </c>
      <c r="M136" s="1">
        <f t="shared" si="9"/>
        <v>1602</v>
      </c>
      <c r="N136" t="str">
        <f t="shared" si="10"/>
        <v>GRAND EST|51 - Marne|CA du Grand Saint-Dizier Der et Vallées</v>
      </c>
      <c r="O136" t="str">
        <f t="shared" si="11"/>
        <v>Province</v>
      </c>
    </row>
    <row r="137" spans="1:15" x14ac:dyDescent="0.25">
      <c r="A137" t="s">
        <v>324</v>
      </c>
      <c r="B137" t="str">
        <f t="shared" si="8"/>
        <v>Marne</v>
      </c>
      <c r="C137" t="s">
        <v>338</v>
      </c>
      <c r="D137" t="s">
        <v>343</v>
      </c>
      <c r="E137" t="s">
        <v>344</v>
      </c>
      <c r="F137" t="s">
        <v>1093</v>
      </c>
      <c r="G137" t="s">
        <v>21</v>
      </c>
      <c r="H137" s="5">
        <v>10296</v>
      </c>
      <c r="I137" s="1">
        <v>14400</v>
      </c>
      <c r="J137" s="1">
        <v>19396</v>
      </c>
      <c r="K137" s="1">
        <f t="shared" si="9"/>
        <v>858</v>
      </c>
      <c r="L137" s="1">
        <f t="shared" si="9"/>
        <v>1200</v>
      </c>
      <c r="M137" s="1">
        <f t="shared" si="9"/>
        <v>1616</v>
      </c>
      <c r="N137" t="str">
        <f t="shared" si="10"/>
        <v>GRAND EST|51 - Marne|CA Epernay, Coteaux et Plaine de Champagne</v>
      </c>
      <c r="O137" t="str">
        <f t="shared" si="11"/>
        <v>Province</v>
      </c>
    </row>
    <row r="138" spans="1:15" x14ac:dyDescent="0.25">
      <c r="A138" t="s">
        <v>324</v>
      </c>
      <c r="B138" t="str">
        <f t="shared" si="8"/>
        <v>Marne</v>
      </c>
      <c r="C138" t="s">
        <v>338</v>
      </c>
      <c r="D138" t="s">
        <v>345</v>
      </c>
      <c r="E138" t="s">
        <v>346</v>
      </c>
      <c r="F138" t="s">
        <v>1093</v>
      </c>
      <c r="G138" t="s">
        <v>21</v>
      </c>
      <c r="H138" s="5">
        <v>10165</v>
      </c>
      <c r="I138" s="1">
        <v>14400</v>
      </c>
      <c r="J138" s="1">
        <v>20412</v>
      </c>
      <c r="K138" s="1">
        <f t="shared" si="9"/>
        <v>847</v>
      </c>
      <c r="L138" s="1">
        <f t="shared" si="9"/>
        <v>1200</v>
      </c>
      <c r="M138" s="1">
        <f t="shared" si="9"/>
        <v>1701</v>
      </c>
      <c r="N138" t="str">
        <f t="shared" si="10"/>
        <v>GRAND EST|51 - Marne|CC de Vitry, Champagne et Der</v>
      </c>
      <c r="O138" t="str">
        <f t="shared" si="11"/>
        <v>Province</v>
      </c>
    </row>
    <row r="139" spans="1:15" x14ac:dyDescent="0.25">
      <c r="A139" t="s">
        <v>324</v>
      </c>
      <c r="B139" t="str">
        <f t="shared" si="8"/>
        <v>Marne</v>
      </c>
      <c r="C139" t="s">
        <v>338</v>
      </c>
      <c r="D139" t="s">
        <v>347</v>
      </c>
      <c r="E139" t="s">
        <v>348</v>
      </c>
      <c r="F139" t="s">
        <v>1093</v>
      </c>
      <c r="G139" t="s">
        <v>21</v>
      </c>
      <c r="H139" s="5">
        <v>10154</v>
      </c>
      <c r="I139" s="1">
        <v>15112</v>
      </c>
      <c r="J139" s="1">
        <v>20839</v>
      </c>
      <c r="K139" s="1">
        <f t="shared" si="9"/>
        <v>846</v>
      </c>
      <c r="L139" s="1">
        <f t="shared" si="9"/>
        <v>1259</v>
      </c>
      <c r="M139" s="1">
        <f t="shared" si="9"/>
        <v>1737</v>
      </c>
      <c r="N139" t="str">
        <f t="shared" si="10"/>
        <v>GRAND EST|51 - Marne|CU du Grand Reims</v>
      </c>
      <c r="O139" t="str">
        <f t="shared" si="11"/>
        <v>Province</v>
      </c>
    </row>
    <row r="140" spans="1:15" x14ac:dyDescent="0.25">
      <c r="A140" t="s">
        <v>324</v>
      </c>
      <c r="B140" t="str">
        <f t="shared" si="8"/>
        <v>Haute-Marne</v>
      </c>
      <c r="C140" t="s">
        <v>350</v>
      </c>
      <c r="D140" t="s">
        <v>351</v>
      </c>
      <c r="E140" t="s">
        <v>352</v>
      </c>
      <c r="F140" t="s">
        <v>1093</v>
      </c>
      <c r="G140" t="s">
        <v>21</v>
      </c>
      <c r="H140" s="5">
        <v>10087</v>
      </c>
      <c r="I140" s="1">
        <v>14316</v>
      </c>
      <c r="J140" s="1">
        <v>19200</v>
      </c>
      <c r="K140" s="1">
        <f t="shared" si="9"/>
        <v>841</v>
      </c>
      <c r="L140" s="1">
        <f t="shared" si="9"/>
        <v>1193</v>
      </c>
      <c r="M140" s="1">
        <f t="shared" si="9"/>
        <v>1600</v>
      </c>
      <c r="N140" t="str">
        <f t="shared" si="10"/>
        <v>GRAND EST|52 - Haute-Marne|CA de Chaumont</v>
      </c>
      <c r="O140" t="str">
        <f t="shared" si="11"/>
        <v>Province</v>
      </c>
    </row>
    <row r="141" spans="1:15" x14ac:dyDescent="0.25">
      <c r="A141" t="s">
        <v>324</v>
      </c>
      <c r="B141" t="str">
        <f t="shared" si="8"/>
        <v>Haute-Marne</v>
      </c>
      <c r="C141" t="s">
        <v>350</v>
      </c>
      <c r="D141" t="s">
        <v>341</v>
      </c>
      <c r="E141" t="s">
        <v>342</v>
      </c>
      <c r="F141" t="s">
        <v>1093</v>
      </c>
      <c r="G141" t="s">
        <v>21</v>
      </c>
      <c r="H141" s="5">
        <v>10272</v>
      </c>
      <c r="I141" s="1">
        <v>13920</v>
      </c>
      <c r="J141" s="1">
        <v>19224</v>
      </c>
      <c r="K141" s="1">
        <f t="shared" si="9"/>
        <v>856</v>
      </c>
      <c r="L141" s="1">
        <f t="shared" si="9"/>
        <v>1160</v>
      </c>
      <c r="M141" s="1">
        <f t="shared" si="9"/>
        <v>1602</v>
      </c>
      <c r="N141" t="str">
        <f t="shared" si="10"/>
        <v>GRAND EST|52 - Haute-Marne|CA du Grand Saint-Dizier Der et Vallées</v>
      </c>
      <c r="O141" t="str">
        <f t="shared" si="11"/>
        <v>Province</v>
      </c>
    </row>
    <row r="142" spans="1:15" x14ac:dyDescent="0.25">
      <c r="A142" t="s">
        <v>324</v>
      </c>
      <c r="B142" t="str">
        <f t="shared" si="8"/>
        <v>Haute-Marne</v>
      </c>
      <c r="C142" t="s">
        <v>350</v>
      </c>
      <c r="D142" t="s">
        <v>353</v>
      </c>
      <c r="E142" t="s">
        <v>354</v>
      </c>
      <c r="F142" t="s">
        <v>1093</v>
      </c>
      <c r="G142" t="s">
        <v>21</v>
      </c>
      <c r="H142" s="5">
        <v>11319</v>
      </c>
      <c r="I142" s="1">
        <v>14400</v>
      </c>
      <c r="J142" s="1">
        <v>19181</v>
      </c>
      <c r="K142" s="1">
        <f t="shared" si="9"/>
        <v>943</v>
      </c>
      <c r="L142" s="1">
        <f t="shared" si="9"/>
        <v>1200</v>
      </c>
      <c r="M142" s="1">
        <f t="shared" si="9"/>
        <v>1598</v>
      </c>
      <c r="N142" t="str">
        <f t="shared" si="10"/>
        <v>GRAND EST|52 - Haute-Marne|CC du Grand Langres</v>
      </c>
      <c r="O142" t="str">
        <f t="shared" si="11"/>
        <v>Province</v>
      </c>
    </row>
    <row r="143" spans="1:15" x14ac:dyDescent="0.25">
      <c r="A143" t="s">
        <v>324</v>
      </c>
      <c r="B143" t="str">
        <f t="shared" si="8"/>
        <v>Meurthe-et-Moselle</v>
      </c>
      <c r="C143" t="s">
        <v>356</v>
      </c>
      <c r="D143" t="s">
        <v>1089</v>
      </c>
      <c r="E143" t="s">
        <v>368</v>
      </c>
      <c r="F143" t="s">
        <v>1093</v>
      </c>
      <c r="G143" t="s">
        <v>21</v>
      </c>
      <c r="H143" s="5">
        <v>9584</v>
      </c>
      <c r="I143" s="1">
        <v>14354</v>
      </c>
      <c r="J143" s="1">
        <v>20394</v>
      </c>
      <c r="K143" s="1">
        <f t="shared" si="9"/>
        <v>799</v>
      </c>
      <c r="L143" s="1">
        <f t="shared" si="9"/>
        <v>1196</v>
      </c>
      <c r="M143" s="1">
        <f t="shared" si="9"/>
        <v>1700</v>
      </c>
      <c r="N143" t="str">
        <f t="shared" si="10"/>
        <v>GRAND EST|54 - Meurthe-et-Moselle|Agglomération du Grand Longwy</v>
      </c>
      <c r="O143" t="str">
        <f t="shared" si="11"/>
        <v>Province</v>
      </c>
    </row>
    <row r="144" spans="1:15" x14ac:dyDescent="0.25">
      <c r="A144" t="s">
        <v>324</v>
      </c>
      <c r="B144" t="str">
        <f t="shared" si="8"/>
        <v>Meurthe-et-Moselle</v>
      </c>
      <c r="C144" t="s">
        <v>356</v>
      </c>
      <c r="D144" t="s">
        <v>357</v>
      </c>
      <c r="E144" t="s">
        <v>358</v>
      </c>
      <c r="F144" t="s">
        <v>1093</v>
      </c>
      <c r="G144" t="s">
        <v>21</v>
      </c>
      <c r="H144" s="5">
        <v>8464</v>
      </c>
      <c r="I144" s="1">
        <v>12396</v>
      </c>
      <c r="J144" s="1">
        <v>16944</v>
      </c>
      <c r="K144" s="1">
        <f t="shared" si="9"/>
        <v>705</v>
      </c>
      <c r="L144" s="1">
        <f t="shared" si="9"/>
        <v>1033</v>
      </c>
      <c r="M144" s="1">
        <f t="shared" si="9"/>
        <v>1412</v>
      </c>
      <c r="N144" t="str">
        <f t="shared" si="10"/>
        <v>GRAND EST|54 - Meurthe-et-Moselle|CA de Saint-Dié-des-Vosges</v>
      </c>
      <c r="O144" t="str">
        <f t="shared" si="11"/>
        <v>Province</v>
      </c>
    </row>
    <row r="145" spans="1:15" x14ac:dyDescent="0.25">
      <c r="A145" t="s">
        <v>324</v>
      </c>
      <c r="B145" t="str">
        <f t="shared" si="8"/>
        <v>Meurthe-et-Moselle</v>
      </c>
      <c r="C145" t="s">
        <v>356</v>
      </c>
      <c r="D145" t="s">
        <v>359</v>
      </c>
      <c r="E145" t="s">
        <v>360</v>
      </c>
      <c r="F145" t="s">
        <v>1093</v>
      </c>
      <c r="G145" t="s">
        <v>21</v>
      </c>
      <c r="H145" s="5">
        <v>10834</v>
      </c>
      <c r="I145" s="1">
        <v>14400</v>
      </c>
      <c r="J145" s="1">
        <v>19203</v>
      </c>
      <c r="K145" s="1">
        <f t="shared" si="9"/>
        <v>903</v>
      </c>
      <c r="L145" s="1">
        <f t="shared" si="9"/>
        <v>1200</v>
      </c>
      <c r="M145" s="1">
        <f t="shared" si="9"/>
        <v>1600</v>
      </c>
      <c r="N145" t="str">
        <f t="shared" si="10"/>
        <v>GRAND EST|54 - Meurthe-et-Moselle|CC du Bassin de Pompey</v>
      </c>
      <c r="O145" t="str">
        <f t="shared" si="11"/>
        <v>Province</v>
      </c>
    </row>
    <row r="146" spans="1:15" x14ac:dyDescent="0.25">
      <c r="A146" t="s">
        <v>324</v>
      </c>
      <c r="B146" t="str">
        <f t="shared" si="8"/>
        <v>Meurthe-et-Moselle</v>
      </c>
      <c r="C146" t="s">
        <v>356</v>
      </c>
      <c r="D146" t="s">
        <v>361</v>
      </c>
      <c r="E146" t="s">
        <v>362</v>
      </c>
      <c r="F146" t="s">
        <v>1093</v>
      </c>
      <c r="G146" t="s">
        <v>21</v>
      </c>
      <c r="H146" s="5">
        <v>10190</v>
      </c>
      <c r="I146" s="1">
        <v>14400</v>
      </c>
      <c r="J146" s="1">
        <v>19592</v>
      </c>
      <c r="K146" s="1">
        <f t="shared" si="9"/>
        <v>849</v>
      </c>
      <c r="L146" s="1">
        <f t="shared" si="9"/>
        <v>1200</v>
      </c>
      <c r="M146" s="1">
        <f t="shared" si="9"/>
        <v>1633</v>
      </c>
      <c r="N146" t="str">
        <f t="shared" si="10"/>
        <v>GRAND EST|54 - Meurthe-et-Moselle|CC du Bassin de Pont-à-Mousson</v>
      </c>
      <c r="O146" t="str">
        <f t="shared" si="11"/>
        <v>Province</v>
      </c>
    </row>
    <row r="147" spans="1:15" x14ac:dyDescent="0.25">
      <c r="A147" t="s">
        <v>324</v>
      </c>
      <c r="B147" t="str">
        <f t="shared" si="8"/>
        <v>Meurthe-et-Moselle</v>
      </c>
      <c r="C147" t="s">
        <v>356</v>
      </c>
      <c r="D147" t="s">
        <v>363</v>
      </c>
      <c r="E147" t="s">
        <v>364</v>
      </c>
      <c r="F147" t="s">
        <v>1093</v>
      </c>
      <c r="G147" t="s">
        <v>21</v>
      </c>
      <c r="H147" s="5">
        <v>7596</v>
      </c>
      <c r="I147" s="1">
        <v>12017</v>
      </c>
      <c r="J147" s="1">
        <v>16667</v>
      </c>
      <c r="K147" s="1">
        <f t="shared" si="9"/>
        <v>633</v>
      </c>
      <c r="L147" s="1">
        <f t="shared" si="9"/>
        <v>1001</v>
      </c>
      <c r="M147" s="1">
        <f t="shared" si="9"/>
        <v>1389</v>
      </c>
      <c r="N147" t="str">
        <f t="shared" si="10"/>
        <v>GRAND EST|54 - Meurthe-et-Moselle|CC du Territoire de Lunéville à Baccarat</v>
      </c>
      <c r="O147" t="str">
        <f t="shared" si="11"/>
        <v>Province</v>
      </c>
    </row>
    <row r="148" spans="1:15" x14ac:dyDescent="0.25">
      <c r="A148" t="s">
        <v>324</v>
      </c>
      <c r="B148" t="str">
        <f t="shared" si="8"/>
        <v>Meurthe-et-Moselle</v>
      </c>
      <c r="C148" t="s">
        <v>356</v>
      </c>
      <c r="D148" t="s">
        <v>365</v>
      </c>
      <c r="E148" t="s">
        <v>366</v>
      </c>
      <c r="F148" t="s">
        <v>1093</v>
      </c>
      <c r="G148" t="s">
        <v>21</v>
      </c>
      <c r="H148" s="5">
        <v>9677</v>
      </c>
      <c r="I148" s="1">
        <v>13186</v>
      </c>
      <c r="J148" s="1">
        <v>17799</v>
      </c>
      <c r="K148" s="1">
        <f t="shared" si="9"/>
        <v>806</v>
      </c>
      <c r="L148" s="1">
        <f t="shared" si="9"/>
        <v>1099</v>
      </c>
      <c r="M148" s="1">
        <f t="shared" si="9"/>
        <v>1483</v>
      </c>
      <c r="N148" t="str">
        <f t="shared" si="10"/>
        <v>GRAND EST|54 - Meurthe-et-Moselle|CC Terres Touloises</v>
      </c>
      <c r="O148" t="str">
        <f t="shared" si="11"/>
        <v>Province</v>
      </c>
    </row>
    <row r="149" spans="1:15" x14ac:dyDescent="0.25">
      <c r="A149" t="s">
        <v>324</v>
      </c>
      <c r="B149" t="str">
        <f t="shared" si="8"/>
        <v>Meurthe-et-Moselle</v>
      </c>
      <c r="C149" t="s">
        <v>356</v>
      </c>
      <c r="D149" t="s">
        <v>369</v>
      </c>
      <c r="E149" t="s">
        <v>370</v>
      </c>
      <c r="F149" t="s">
        <v>1093</v>
      </c>
      <c r="G149" t="s">
        <v>21</v>
      </c>
      <c r="H149" s="5">
        <v>8771</v>
      </c>
      <c r="I149" s="1">
        <v>13272</v>
      </c>
      <c r="J149" s="1">
        <v>18782</v>
      </c>
      <c r="K149" s="1">
        <f t="shared" si="9"/>
        <v>731</v>
      </c>
      <c r="L149" s="1">
        <f t="shared" si="9"/>
        <v>1106</v>
      </c>
      <c r="M149" s="1">
        <f t="shared" si="9"/>
        <v>1565</v>
      </c>
      <c r="N149" t="str">
        <f t="shared" si="10"/>
        <v>GRAND EST|54 - Meurthe-et-Moselle|Métropole du Grand Nancy</v>
      </c>
      <c r="O149" t="str">
        <f t="shared" si="11"/>
        <v>Province</v>
      </c>
    </row>
    <row r="150" spans="1:15" x14ac:dyDescent="0.25">
      <c r="A150" t="s">
        <v>324</v>
      </c>
      <c r="B150" t="str">
        <f t="shared" si="8"/>
        <v>Meuse</v>
      </c>
      <c r="C150" t="s">
        <v>372</v>
      </c>
      <c r="D150" t="s">
        <v>373</v>
      </c>
      <c r="E150" t="s">
        <v>374</v>
      </c>
      <c r="F150" t="s">
        <v>1093</v>
      </c>
      <c r="G150" t="s">
        <v>21</v>
      </c>
      <c r="H150" s="5">
        <v>8936</v>
      </c>
      <c r="I150" s="1">
        <v>12771</v>
      </c>
      <c r="J150" s="1">
        <v>17808</v>
      </c>
      <c r="K150" s="1">
        <f t="shared" si="9"/>
        <v>745</v>
      </c>
      <c r="L150" s="1">
        <f t="shared" si="9"/>
        <v>1064</v>
      </c>
      <c r="M150" s="1">
        <f t="shared" si="9"/>
        <v>1484</v>
      </c>
      <c r="N150" t="str">
        <f t="shared" si="10"/>
        <v>GRAND EST|55 - Meuse|CA de Bar-le-Duc - Sud Meuse</v>
      </c>
      <c r="O150" t="str">
        <f t="shared" si="11"/>
        <v>Province</v>
      </c>
    </row>
    <row r="151" spans="1:15" x14ac:dyDescent="0.25">
      <c r="A151" t="s">
        <v>324</v>
      </c>
      <c r="B151" t="str">
        <f t="shared" si="8"/>
        <v>Meuse</v>
      </c>
      <c r="C151" t="s">
        <v>372</v>
      </c>
      <c r="D151" t="s">
        <v>375</v>
      </c>
      <c r="E151" t="s">
        <v>376</v>
      </c>
      <c r="F151" t="s">
        <v>1093</v>
      </c>
      <c r="G151" t="s">
        <v>21</v>
      </c>
      <c r="H151" s="5">
        <v>8081</v>
      </c>
      <c r="I151" s="1">
        <v>12688</v>
      </c>
      <c r="J151" s="1">
        <v>17169</v>
      </c>
      <c r="K151" s="1">
        <f t="shared" si="9"/>
        <v>673</v>
      </c>
      <c r="L151" s="1">
        <f t="shared" si="9"/>
        <v>1057</v>
      </c>
      <c r="M151" s="1">
        <f t="shared" si="9"/>
        <v>1431</v>
      </c>
      <c r="N151" t="str">
        <f t="shared" si="10"/>
        <v>GRAND EST|55 - Meuse|CA du Grand Verdun</v>
      </c>
      <c r="O151" t="str">
        <f t="shared" si="11"/>
        <v>Province</v>
      </c>
    </row>
    <row r="152" spans="1:15" x14ac:dyDescent="0.25">
      <c r="A152" t="s">
        <v>324</v>
      </c>
      <c r="B152" t="str">
        <f t="shared" si="8"/>
        <v>Moselle</v>
      </c>
      <c r="C152" t="s">
        <v>378</v>
      </c>
      <c r="D152" t="s">
        <v>379</v>
      </c>
      <c r="E152" t="s">
        <v>380</v>
      </c>
      <c r="F152" t="s">
        <v>1093</v>
      </c>
      <c r="G152" t="s">
        <v>21</v>
      </c>
      <c r="H152" s="5">
        <v>7457</v>
      </c>
      <c r="I152" s="1">
        <v>11695</v>
      </c>
      <c r="J152" s="1">
        <v>15534</v>
      </c>
      <c r="K152" s="1">
        <f t="shared" si="9"/>
        <v>621</v>
      </c>
      <c r="L152" s="1">
        <f t="shared" si="9"/>
        <v>975</v>
      </c>
      <c r="M152" s="1">
        <f t="shared" si="9"/>
        <v>1295</v>
      </c>
      <c r="N152" t="str">
        <f t="shared" si="10"/>
        <v>GRAND EST|57 - Moselle|CA de Forbach Porte de France</v>
      </c>
      <c r="O152" t="str">
        <f t="shared" si="11"/>
        <v>Province</v>
      </c>
    </row>
    <row r="153" spans="1:15" x14ac:dyDescent="0.25">
      <c r="A153" t="s">
        <v>324</v>
      </c>
      <c r="B153" t="str">
        <f t="shared" si="8"/>
        <v>Moselle</v>
      </c>
      <c r="C153" t="s">
        <v>378</v>
      </c>
      <c r="D153" t="s">
        <v>385</v>
      </c>
      <c r="E153" t="s">
        <v>386</v>
      </c>
      <c r="F153" t="s">
        <v>1093</v>
      </c>
      <c r="G153" t="s">
        <v>21</v>
      </c>
      <c r="H153" s="5">
        <v>8400</v>
      </c>
      <c r="I153" s="1">
        <v>12396</v>
      </c>
      <c r="J153" s="1">
        <v>17451</v>
      </c>
      <c r="K153" s="1">
        <f t="shared" si="9"/>
        <v>700</v>
      </c>
      <c r="L153" s="1">
        <f t="shared" si="9"/>
        <v>1033</v>
      </c>
      <c r="M153" s="1">
        <f t="shared" si="9"/>
        <v>1454</v>
      </c>
      <c r="N153" t="str">
        <f t="shared" si="10"/>
        <v>GRAND EST|57 - Moselle|CA Saint-Avold Synergie</v>
      </c>
      <c r="O153" t="str">
        <f t="shared" si="11"/>
        <v>Province</v>
      </c>
    </row>
    <row r="154" spans="1:15" x14ac:dyDescent="0.25">
      <c r="A154" t="s">
        <v>324</v>
      </c>
      <c r="B154" t="str">
        <f t="shared" si="8"/>
        <v>Moselle</v>
      </c>
      <c r="C154" t="s">
        <v>378</v>
      </c>
      <c r="D154" t="s">
        <v>387</v>
      </c>
      <c r="E154" t="s">
        <v>388</v>
      </c>
      <c r="F154" t="s">
        <v>1093</v>
      </c>
      <c r="G154" t="s">
        <v>21</v>
      </c>
      <c r="H154" s="5">
        <v>7710</v>
      </c>
      <c r="I154" s="1">
        <v>11974</v>
      </c>
      <c r="J154" s="1">
        <v>14982</v>
      </c>
      <c r="K154" s="1">
        <f t="shared" si="9"/>
        <v>643</v>
      </c>
      <c r="L154" s="1">
        <f t="shared" si="9"/>
        <v>998</v>
      </c>
      <c r="M154" s="1">
        <f t="shared" si="9"/>
        <v>1249</v>
      </c>
      <c r="N154" t="str">
        <f t="shared" si="10"/>
        <v>GRAND EST|57 - Moselle|CA Sarreguemines Confluences</v>
      </c>
      <c r="O154" t="str">
        <f t="shared" si="11"/>
        <v>Province</v>
      </c>
    </row>
    <row r="155" spans="1:15" x14ac:dyDescent="0.25">
      <c r="A155" t="s">
        <v>324</v>
      </c>
      <c r="B155" t="str">
        <f t="shared" si="8"/>
        <v>Moselle</v>
      </c>
      <c r="C155" t="s">
        <v>378</v>
      </c>
      <c r="D155" t="s">
        <v>389</v>
      </c>
      <c r="E155" t="s">
        <v>390</v>
      </c>
      <c r="F155" t="s">
        <v>1093</v>
      </c>
      <c r="G155" t="s">
        <v>21</v>
      </c>
      <c r="H155" s="5">
        <v>9215</v>
      </c>
      <c r="I155" s="1">
        <v>12408</v>
      </c>
      <c r="J155" s="1">
        <v>17016</v>
      </c>
      <c r="K155" s="1">
        <f t="shared" si="9"/>
        <v>768</v>
      </c>
      <c r="L155" s="1">
        <f t="shared" si="9"/>
        <v>1034</v>
      </c>
      <c r="M155" s="1">
        <f t="shared" si="9"/>
        <v>1418</v>
      </c>
      <c r="N155" t="str">
        <f t="shared" si="10"/>
        <v>GRAND EST|57 - Moselle|CC de Freyming-Merlebach</v>
      </c>
      <c r="O155" t="str">
        <f t="shared" si="11"/>
        <v>Province</v>
      </c>
    </row>
    <row r="156" spans="1:15" x14ac:dyDescent="0.25">
      <c r="A156" t="s">
        <v>324</v>
      </c>
      <c r="B156" t="str">
        <f t="shared" si="8"/>
        <v>Moselle</v>
      </c>
      <c r="C156" t="s">
        <v>378</v>
      </c>
      <c r="D156" t="s">
        <v>391</v>
      </c>
      <c r="E156" t="s">
        <v>392</v>
      </c>
      <c r="F156" t="s">
        <v>1093</v>
      </c>
      <c r="G156" t="s">
        <v>21</v>
      </c>
      <c r="H156" s="5">
        <v>11125</v>
      </c>
      <c r="I156" s="1">
        <v>15244</v>
      </c>
      <c r="J156" s="1">
        <v>21097</v>
      </c>
      <c r="K156" s="1">
        <f t="shared" si="9"/>
        <v>927</v>
      </c>
      <c r="L156" s="1">
        <f t="shared" si="9"/>
        <v>1270</v>
      </c>
      <c r="M156" s="1">
        <f t="shared" si="9"/>
        <v>1758</v>
      </c>
      <c r="N156" t="str">
        <f t="shared" si="10"/>
        <v>GRAND EST|57 - Moselle|CC de l'Arc Mosellan</v>
      </c>
      <c r="O156" t="str">
        <f t="shared" si="11"/>
        <v>Province</v>
      </c>
    </row>
    <row r="157" spans="1:15" x14ac:dyDescent="0.25">
      <c r="A157" t="s">
        <v>324</v>
      </c>
      <c r="B157" t="str">
        <f t="shared" si="8"/>
        <v>Moselle</v>
      </c>
      <c r="C157" t="s">
        <v>378</v>
      </c>
      <c r="D157" t="s">
        <v>393</v>
      </c>
      <c r="E157" t="s">
        <v>394</v>
      </c>
      <c r="F157" t="s">
        <v>1093</v>
      </c>
      <c r="G157" t="s">
        <v>21</v>
      </c>
      <c r="H157" s="5">
        <v>11156</v>
      </c>
      <c r="I157" s="1">
        <v>15038</v>
      </c>
      <c r="J157" s="1">
        <v>20601</v>
      </c>
      <c r="K157" s="1">
        <f t="shared" si="9"/>
        <v>930</v>
      </c>
      <c r="L157" s="1">
        <f t="shared" si="9"/>
        <v>1253</v>
      </c>
      <c r="M157" s="1">
        <f t="shared" si="9"/>
        <v>1717</v>
      </c>
      <c r="N157" t="str">
        <f t="shared" si="10"/>
        <v>GRAND EST|57 - Moselle|CC du Pays Orne Moselle</v>
      </c>
      <c r="O157" t="str">
        <f t="shared" si="11"/>
        <v>Province</v>
      </c>
    </row>
    <row r="158" spans="1:15" x14ac:dyDescent="0.25">
      <c r="A158" t="s">
        <v>324</v>
      </c>
      <c r="B158" t="str">
        <f t="shared" si="8"/>
        <v>Moselle</v>
      </c>
      <c r="C158" t="s">
        <v>378</v>
      </c>
      <c r="D158" t="s">
        <v>395</v>
      </c>
      <c r="E158" t="s">
        <v>396</v>
      </c>
      <c r="F158" t="s">
        <v>1093</v>
      </c>
      <c r="G158" t="s">
        <v>21</v>
      </c>
      <c r="H158" s="5">
        <v>8133</v>
      </c>
      <c r="I158" s="1">
        <v>12444</v>
      </c>
      <c r="J158" s="1">
        <v>17620</v>
      </c>
      <c r="K158" s="1">
        <f t="shared" si="9"/>
        <v>678</v>
      </c>
      <c r="L158" s="1">
        <f t="shared" si="9"/>
        <v>1037</v>
      </c>
      <c r="M158" s="1">
        <f t="shared" si="9"/>
        <v>1468</v>
      </c>
      <c r="N158" t="str">
        <f t="shared" si="10"/>
        <v>GRAND EST|57 - Moselle|CC du Warndt</v>
      </c>
      <c r="O158" t="str">
        <f t="shared" si="11"/>
        <v>Province</v>
      </c>
    </row>
    <row r="159" spans="1:15" x14ac:dyDescent="0.25">
      <c r="A159" t="s">
        <v>324</v>
      </c>
      <c r="B159" t="str">
        <f t="shared" si="8"/>
        <v>Moselle</v>
      </c>
      <c r="C159" t="s">
        <v>378</v>
      </c>
      <c r="D159" t="s">
        <v>397</v>
      </c>
      <c r="E159" t="s">
        <v>398</v>
      </c>
      <c r="F159" t="s">
        <v>1093</v>
      </c>
      <c r="G159" t="s">
        <v>21</v>
      </c>
      <c r="H159" s="5">
        <v>11592</v>
      </c>
      <c r="I159" s="1">
        <v>16384</v>
      </c>
      <c r="J159" s="1">
        <v>21098</v>
      </c>
      <c r="K159" s="1">
        <f t="shared" si="9"/>
        <v>966</v>
      </c>
      <c r="L159" s="1">
        <f t="shared" si="9"/>
        <v>1365</v>
      </c>
      <c r="M159" s="1">
        <f t="shared" si="9"/>
        <v>1758</v>
      </c>
      <c r="N159" t="str">
        <f t="shared" si="10"/>
        <v>GRAND EST|57 - Moselle|CC Rives de Moselle</v>
      </c>
      <c r="O159" t="str">
        <f t="shared" si="11"/>
        <v>Province</v>
      </c>
    </row>
    <row r="160" spans="1:15" x14ac:dyDescent="0.25">
      <c r="A160" t="s">
        <v>324</v>
      </c>
      <c r="B160" t="str">
        <f t="shared" si="8"/>
        <v>Moselle</v>
      </c>
      <c r="C160" t="s">
        <v>378</v>
      </c>
      <c r="D160" t="s">
        <v>399</v>
      </c>
      <c r="E160" t="s">
        <v>400</v>
      </c>
      <c r="F160" t="s">
        <v>1093</v>
      </c>
      <c r="G160" t="s">
        <v>21</v>
      </c>
      <c r="H160" s="5">
        <v>8247</v>
      </c>
      <c r="I160" s="1">
        <v>12192</v>
      </c>
      <c r="J160" s="1">
        <v>14964</v>
      </c>
      <c r="K160" s="1">
        <f t="shared" si="9"/>
        <v>687</v>
      </c>
      <c r="L160" s="1">
        <f t="shared" si="9"/>
        <v>1016</v>
      </c>
      <c r="M160" s="1">
        <f t="shared" si="9"/>
        <v>1247</v>
      </c>
      <c r="N160" t="str">
        <f t="shared" si="10"/>
        <v>GRAND EST|57 - Moselle|CC Sarrebourg Moselle Sud</v>
      </c>
      <c r="O160" t="str">
        <f t="shared" si="11"/>
        <v>Province</v>
      </c>
    </row>
    <row r="161" spans="1:15" x14ac:dyDescent="0.25">
      <c r="A161" t="s">
        <v>324</v>
      </c>
      <c r="B161" t="str">
        <f t="shared" si="8"/>
        <v>Moselle</v>
      </c>
      <c r="C161" t="s">
        <v>378</v>
      </c>
      <c r="D161" t="s">
        <v>401</v>
      </c>
      <c r="E161" t="s">
        <v>402</v>
      </c>
      <c r="F161" t="s">
        <v>1093</v>
      </c>
      <c r="G161" t="s">
        <v>21</v>
      </c>
      <c r="H161" s="5">
        <v>9632</v>
      </c>
      <c r="I161" s="1">
        <v>14400</v>
      </c>
      <c r="J161" s="1">
        <v>20064</v>
      </c>
      <c r="K161" s="1">
        <f t="shared" si="9"/>
        <v>803</v>
      </c>
      <c r="L161" s="1">
        <f t="shared" si="9"/>
        <v>1200</v>
      </c>
      <c r="M161" s="1">
        <f t="shared" si="9"/>
        <v>1672</v>
      </c>
      <c r="N161" t="str">
        <f t="shared" si="10"/>
        <v>GRAND EST|57 - Moselle|Metz Métropole</v>
      </c>
      <c r="O161" t="str">
        <f t="shared" si="11"/>
        <v>Province</v>
      </c>
    </row>
    <row r="162" spans="1:15" x14ac:dyDescent="0.25">
      <c r="A162" t="s">
        <v>324</v>
      </c>
      <c r="B162" t="str">
        <f t="shared" si="8"/>
        <v>Moselle</v>
      </c>
      <c r="C162" t="s">
        <v>378</v>
      </c>
      <c r="D162" t="s">
        <v>1094</v>
      </c>
      <c r="E162" t="s">
        <v>1095</v>
      </c>
      <c r="F162" t="s">
        <v>1093</v>
      </c>
      <c r="G162" t="s">
        <v>21</v>
      </c>
      <c r="H162" s="5">
        <v>10620</v>
      </c>
      <c r="I162" s="1">
        <v>15231</v>
      </c>
      <c r="J162" s="1">
        <v>20655</v>
      </c>
      <c r="K162" s="1">
        <f t="shared" si="9"/>
        <v>885</v>
      </c>
      <c r="L162" s="1">
        <f t="shared" si="9"/>
        <v>1269</v>
      </c>
      <c r="M162" s="1">
        <f t="shared" si="9"/>
        <v>1721</v>
      </c>
      <c r="N162" t="str">
        <f t="shared" si="10"/>
        <v>GRAND EST|57 - Moselle|Thionville Fensch Agglomération</v>
      </c>
      <c r="O162" t="str">
        <f t="shared" si="11"/>
        <v>Province</v>
      </c>
    </row>
    <row r="163" spans="1:15" x14ac:dyDescent="0.25">
      <c r="A163" t="s">
        <v>324</v>
      </c>
      <c r="B163" t="str">
        <f t="shared" si="8"/>
        <v>Bas-Rhin</v>
      </c>
      <c r="C163" t="s">
        <v>404</v>
      </c>
      <c r="D163" t="s">
        <v>405</v>
      </c>
      <c r="E163" t="s">
        <v>406</v>
      </c>
      <c r="F163" t="s">
        <v>1093</v>
      </c>
      <c r="G163" t="s">
        <v>21</v>
      </c>
      <c r="H163" s="5">
        <v>10140</v>
      </c>
      <c r="I163" s="1">
        <v>14157</v>
      </c>
      <c r="J163" s="1">
        <v>19443</v>
      </c>
      <c r="K163" s="1">
        <f t="shared" si="9"/>
        <v>845</v>
      </c>
      <c r="L163" s="1">
        <f t="shared" si="9"/>
        <v>1180</v>
      </c>
      <c r="M163" s="1">
        <f t="shared" si="9"/>
        <v>1620</v>
      </c>
      <c r="N163" t="str">
        <f t="shared" si="10"/>
        <v>GRAND EST|67 - Bas-Rhin|CA de Haguenau</v>
      </c>
      <c r="O163" t="str">
        <f t="shared" si="11"/>
        <v>Province</v>
      </c>
    </row>
    <row r="164" spans="1:15" x14ac:dyDescent="0.25">
      <c r="A164" t="s">
        <v>324</v>
      </c>
      <c r="B164" t="str">
        <f t="shared" si="8"/>
        <v>Bas-Rhin</v>
      </c>
      <c r="C164" t="s">
        <v>404</v>
      </c>
      <c r="D164" t="s">
        <v>387</v>
      </c>
      <c r="E164" t="s">
        <v>388</v>
      </c>
      <c r="F164" t="s">
        <v>1093</v>
      </c>
      <c r="G164" t="s">
        <v>21</v>
      </c>
      <c r="H164" s="5">
        <v>7710</v>
      </c>
      <c r="I164" s="1">
        <v>11974</v>
      </c>
      <c r="J164" s="1">
        <v>14982</v>
      </c>
      <c r="K164" s="1">
        <f t="shared" si="9"/>
        <v>643</v>
      </c>
      <c r="L164" s="1">
        <f t="shared" si="9"/>
        <v>998</v>
      </c>
      <c r="M164" s="1">
        <f t="shared" si="9"/>
        <v>1249</v>
      </c>
      <c r="N164" t="str">
        <f t="shared" si="10"/>
        <v>GRAND EST|67 - Bas-Rhin|CA Sarreguemines Confluences</v>
      </c>
      <c r="O164" t="str">
        <f t="shared" si="11"/>
        <v>Province</v>
      </c>
    </row>
    <row r="165" spans="1:15" x14ac:dyDescent="0.25">
      <c r="A165" t="s">
        <v>324</v>
      </c>
      <c r="B165" t="str">
        <f t="shared" si="8"/>
        <v>Bas-Rhin</v>
      </c>
      <c r="C165" t="s">
        <v>404</v>
      </c>
      <c r="D165" t="s">
        <v>407</v>
      </c>
      <c r="E165" t="s">
        <v>408</v>
      </c>
      <c r="F165" t="s">
        <v>1093</v>
      </c>
      <c r="G165" t="s">
        <v>21</v>
      </c>
      <c r="H165" s="5">
        <v>9674</v>
      </c>
      <c r="I165" s="1">
        <v>13293</v>
      </c>
      <c r="J165" s="1">
        <v>18438</v>
      </c>
      <c r="K165" s="1">
        <f t="shared" si="9"/>
        <v>806</v>
      </c>
      <c r="L165" s="1">
        <f t="shared" si="9"/>
        <v>1108</v>
      </c>
      <c r="M165" s="1">
        <f t="shared" si="9"/>
        <v>1537</v>
      </c>
      <c r="N165" t="str">
        <f t="shared" si="10"/>
        <v>GRAND EST|67 - Bas-Rhin|CC de Sélestat</v>
      </c>
      <c r="O165" t="str">
        <f t="shared" si="11"/>
        <v>Province</v>
      </c>
    </row>
    <row r="166" spans="1:15" x14ac:dyDescent="0.25">
      <c r="A166" t="s">
        <v>324</v>
      </c>
      <c r="B166" t="str">
        <f t="shared" si="8"/>
        <v>Bas-Rhin</v>
      </c>
      <c r="C166" t="s">
        <v>404</v>
      </c>
      <c r="D166" t="s">
        <v>409</v>
      </c>
      <c r="E166" t="s">
        <v>410</v>
      </c>
      <c r="F166" t="s">
        <v>1093</v>
      </c>
      <c r="G166" t="s">
        <v>21</v>
      </c>
      <c r="H166" s="5">
        <v>10398</v>
      </c>
      <c r="I166" s="1">
        <v>14500</v>
      </c>
      <c r="J166" s="1">
        <v>19207</v>
      </c>
      <c r="K166" s="1">
        <f t="shared" si="9"/>
        <v>867</v>
      </c>
      <c r="L166" s="1">
        <f t="shared" si="9"/>
        <v>1208</v>
      </c>
      <c r="M166" s="1">
        <f t="shared" si="9"/>
        <v>1601</v>
      </c>
      <c r="N166" t="str">
        <f t="shared" si="10"/>
        <v>GRAND EST|67 - Bas-Rhin|CC du Canton d'Erstein</v>
      </c>
      <c r="O166" t="str">
        <f t="shared" si="11"/>
        <v>Province</v>
      </c>
    </row>
    <row r="167" spans="1:15" x14ac:dyDescent="0.25">
      <c r="A167" t="s">
        <v>324</v>
      </c>
      <c r="B167" t="str">
        <f t="shared" si="8"/>
        <v>Bas-Rhin</v>
      </c>
      <c r="C167" t="s">
        <v>404</v>
      </c>
      <c r="D167" t="s">
        <v>411</v>
      </c>
      <c r="E167" t="s">
        <v>412</v>
      </c>
      <c r="F167" t="s">
        <v>1093</v>
      </c>
      <c r="G167" t="s">
        <v>21</v>
      </c>
      <c r="H167" s="5">
        <v>10065</v>
      </c>
      <c r="I167" s="1">
        <v>13760</v>
      </c>
      <c r="J167" s="1">
        <v>18136</v>
      </c>
      <c r="K167" s="1">
        <f t="shared" si="9"/>
        <v>839</v>
      </c>
      <c r="L167" s="1">
        <f t="shared" si="9"/>
        <v>1147</v>
      </c>
      <c r="M167" s="1">
        <f t="shared" si="9"/>
        <v>1511</v>
      </c>
      <c r="N167" t="str">
        <f t="shared" si="10"/>
        <v>GRAND EST|67 - Bas-Rhin|CC du Pays de Saverne</v>
      </c>
      <c r="O167" t="str">
        <f t="shared" si="11"/>
        <v>Province</v>
      </c>
    </row>
    <row r="168" spans="1:15" x14ac:dyDescent="0.25">
      <c r="A168" t="s">
        <v>324</v>
      </c>
      <c r="B168" t="str">
        <f t="shared" si="8"/>
        <v>Bas-Rhin</v>
      </c>
      <c r="C168" t="s">
        <v>404</v>
      </c>
      <c r="D168" t="s">
        <v>413</v>
      </c>
      <c r="E168" t="s">
        <v>414</v>
      </c>
      <c r="F168" t="s">
        <v>1093</v>
      </c>
      <c r="G168" t="s">
        <v>21</v>
      </c>
      <c r="H168" s="5">
        <v>9600</v>
      </c>
      <c r="I168" s="1">
        <v>13897</v>
      </c>
      <c r="J168" s="1">
        <v>19428</v>
      </c>
      <c r="K168" s="1">
        <f t="shared" si="9"/>
        <v>800</v>
      </c>
      <c r="L168" s="1">
        <f t="shared" si="9"/>
        <v>1158</v>
      </c>
      <c r="M168" s="1">
        <f t="shared" si="9"/>
        <v>1619</v>
      </c>
      <c r="N168" t="str">
        <f t="shared" si="10"/>
        <v>GRAND EST|67 - Bas-Rhin|Eurométropole de Strasbourg</v>
      </c>
      <c r="O168" t="str">
        <f t="shared" si="11"/>
        <v>Province</v>
      </c>
    </row>
    <row r="169" spans="1:15" x14ac:dyDescent="0.25">
      <c r="A169" t="s">
        <v>324</v>
      </c>
      <c r="B169" t="str">
        <f t="shared" si="8"/>
        <v>Haut-Rhin</v>
      </c>
      <c r="C169" t="s">
        <v>416</v>
      </c>
      <c r="D169" t="s">
        <v>417</v>
      </c>
      <c r="E169" t="s">
        <v>418</v>
      </c>
      <c r="F169" t="s">
        <v>1093</v>
      </c>
      <c r="G169" t="s">
        <v>21</v>
      </c>
      <c r="H169" s="5">
        <v>9936</v>
      </c>
      <c r="I169" s="1">
        <v>14332</v>
      </c>
      <c r="J169" s="1">
        <v>19306</v>
      </c>
      <c r="K169" s="1">
        <f t="shared" si="9"/>
        <v>828</v>
      </c>
      <c r="L169" s="1">
        <f t="shared" si="9"/>
        <v>1194</v>
      </c>
      <c r="M169" s="1">
        <f t="shared" si="9"/>
        <v>1609</v>
      </c>
      <c r="N169" t="str">
        <f t="shared" si="10"/>
        <v>GRAND EST|68 - Haut-Rhin|CA Colmar Agglomération</v>
      </c>
      <c r="O169" t="str">
        <f t="shared" si="11"/>
        <v>Province</v>
      </c>
    </row>
    <row r="170" spans="1:15" x14ac:dyDescent="0.25">
      <c r="A170" t="s">
        <v>324</v>
      </c>
      <c r="B170" t="str">
        <f t="shared" si="8"/>
        <v>Haut-Rhin</v>
      </c>
      <c r="C170" t="s">
        <v>416</v>
      </c>
      <c r="D170" t="s">
        <v>419</v>
      </c>
      <c r="E170" t="s">
        <v>420</v>
      </c>
      <c r="F170" t="s">
        <v>1093</v>
      </c>
      <c r="G170" t="s">
        <v>21</v>
      </c>
      <c r="H170" s="5">
        <v>9143</v>
      </c>
      <c r="I170" s="1">
        <v>13138</v>
      </c>
      <c r="J170" s="1">
        <v>18515</v>
      </c>
      <c r="K170" s="1">
        <f t="shared" si="9"/>
        <v>762</v>
      </c>
      <c r="L170" s="1">
        <f t="shared" si="9"/>
        <v>1095</v>
      </c>
      <c r="M170" s="1">
        <f t="shared" si="9"/>
        <v>1543</v>
      </c>
      <c r="N170" t="str">
        <f t="shared" si="10"/>
        <v>GRAND EST|68 - Haut-Rhin|CA Mulhouse Alsace Agglomération</v>
      </c>
      <c r="O170" t="str">
        <f t="shared" si="11"/>
        <v>Province</v>
      </c>
    </row>
    <row r="171" spans="1:15" x14ac:dyDescent="0.25">
      <c r="A171" t="s">
        <v>324</v>
      </c>
      <c r="B171" t="str">
        <f t="shared" si="8"/>
        <v>Haut-Rhin</v>
      </c>
      <c r="C171" t="s">
        <v>416</v>
      </c>
      <c r="D171" t="s">
        <v>421</v>
      </c>
      <c r="E171" t="s">
        <v>422</v>
      </c>
      <c r="F171" t="s">
        <v>1093</v>
      </c>
      <c r="G171" t="s">
        <v>21</v>
      </c>
      <c r="H171" s="5">
        <v>9832</v>
      </c>
      <c r="I171" s="1">
        <v>14127</v>
      </c>
      <c r="J171" s="1">
        <v>20400</v>
      </c>
      <c r="K171" s="1">
        <f t="shared" si="9"/>
        <v>819</v>
      </c>
      <c r="L171" s="1">
        <f t="shared" si="9"/>
        <v>1177</v>
      </c>
      <c r="M171" s="1">
        <f t="shared" si="9"/>
        <v>1700</v>
      </c>
      <c r="N171" t="str">
        <f t="shared" si="10"/>
        <v>GRAND EST|68 - Haut-Rhin|CA Saint-Louis Agglomération</v>
      </c>
      <c r="O171" t="str">
        <f t="shared" si="11"/>
        <v>Province</v>
      </c>
    </row>
    <row r="172" spans="1:15" x14ac:dyDescent="0.25">
      <c r="A172" t="s">
        <v>324</v>
      </c>
      <c r="B172" t="str">
        <f t="shared" si="8"/>
        <v>Haut-Rhin</v>
      </c>
      <c r="C172" t="s">
        <v>416</v>
      </c>
      <c r="D172" t="s">
        <v>423</v>
      </c>
      <c r="E172" t="s">
        <v>424</v>
      </c>
      <c r="F172" t="s">
        <v>1093</v>
      </c>
      <c r="G172" t="s">
        <v>21</v>
      </c>
      <c r="H172" s="5">
        <v>10827</v>
      </c>
      <c r="I172" s="1">
        <v>14580</v>
      </c>
      <c r="J172" s="1">
        <v>19351</v>
      </c>
      <c r="K172" s="1">
        <f t="shared" si="9"/>
        <v>902</v>
      </c>
      <c r="L172" s="1">
        <f t="shared" si="9"/>
        <v>1215</v>
      </c>
      <c r="M172" s="1">
        <f t="shared" si="9"/>
        <v>1613</v>
      </c>
      <c r="N172" t="str">
        <f t="shared" si="10"/>
        <v>GRAND EST|68 - Haut-Rhin|CC de la Région de Guebwiller</v>
      </c>
      <c r="O172" t="str">
        <f t="shared" si="11"/>
        <v>Province</v>
      </c>
    </row>
    <row r="173" spans="1:15" x14ac:dyDescent="0.25">
      <c r="A173" t="s">
        <v>324</v>
      </c>
      <c r="B173" t="str">
        <f t="shared" si="8"/>
        <v>Haut-Rhin</v>
      </c>
      <c r="C173" t="s">
        <v>416</v>
      </c>
      <c r="D173" t="s">
        <v>425</v>
      </c>
      <c r="E173" t="s">
        <v>426</v>
      </c>
      <c r="F173" t="s">
        <v>1093</v>
      </c>
      <c r="G173" t="s">
        <v>21</v>
      </c>
      <c r="H173" s="5">
        <v>10799</v>
      </c>
      <c r="I173" s="1">
        <v>14400</v>
      </c>
      <c r="J173" s="1">
        <v>19158</v>
      </c>
      <c r="K173" s="1">
        <f t="shared" si="9"/>
        <v>900</v>
      </c>
      <c r="L173" s="1">
        <f t="shared" si="9"/>
        <v>1200</v>
      </c>
      <c r="M173" s="1">
        <f t="shared" si="9"/>
        <v>1597</v>
      </c>
      <c r="N173" t="str">
        <f t="shared" si="10"/>
        <v>GRAND EST|68 - Haut-Rhin|CC de Thann-Cernay</v>
      </c>
      <c r="O173" t="str">
        <f t="shared" si="11"/>
        <v>Province</v>
      </c>
    </row>
    <row r="174" spans="1:15" x14ac:dyDescent="0.25">
      <c r="A174" t="s">
        <v>324</v>
      </c>
      <c r="B174" t="str">
        <f t="shared" si="8"/>
        <v>Vosges</v>
      </c>
      <c r="C174" t="s">
        <v>428</v>
      </c>
      <c r="D174" t="s">
        <v>429</v>
      </c>
      <c r="E174" t="s">
        <v>430</v>
      </c>
      <c r="F174" t="s">
        <v>1093</v>
      </c>
      <c r="G174" t="s">
        <v>21</v>
      </c>
      <c r="H174" s="5">
        <v>8588</v>
      </c>
      <c r="I174" s="1">
        <v>12600</v>
      </c>
      <c r="J174" s="1">
        <v>18018</v>
      </c>
      <c r="K174" s="1">
        <f t="shared" si="9"/>
        <v>716</v>
      </c>
      <c r="L174" s="1">
        <f t="shared" si="9"/>
        <v>1050</v>
      </c>
      <c r="M174" s="1">
        <f t="shared" si="9"/>
        <v>1502</v>
      </c>
      <c r="N174" t="str">
        <f t="shared" si="10"/>
        <v>GRAND EST|88 - Vosges|CA d'Epinal</v>
      </c>
      <c r="O174" t="str">
        <f t="shared" si="11"/>
        <v>Province</v>
      </c>
    </row>
    <row r="175" spans="1:15" x14ac:dyDescent="0.25">
      <c r="A175" t="s">
        <v>324</v>
      </c>
      <c r="B175" t="str">
        <f t="shared" si="8"/>
        <v>Vosges</v>
      </c>
      <c r="C175" t="s">
        <v>428</v>
      </c>
      <c r="D175" t="s">
        <v>357</v>
      </c>
      <c r="E175" t="s">
        <v>358</v>
      </c>
      <c r="F175" t="s">
        <v>1093</v>
      </c>
      <c r="G175" t="s">
        <v>21</v>
      </c>
      <c r="H175" s="5">
        <v>8464</v>
      </c>
      <c r="I175" s="1">
        <v>12396</v>
      </c>
      <c r="J175" s="1">
        <v>16944</v>
      </c>
      <c r="K175" s="1">
        <f t="shared" si="9"/>
        <v>705</v>
      </c>
      <c r="L175" s="1">
        <f t="shared" si="9"/>
        <v>1033</v>
      </c>
      <c r="M175" s="1">
        <f t="shared" si="9"/>
        <v>1412</v>
      </c>
      <c r="N175" t="str">
        <f t="shared" si="10"/>
        <v>GRAND EST|88 - Vosges|CA de Saint-Dié-des-Vosges</v>
      </c>
      <c r="O175" t="str">
        <f t="shared" si="11"/>
        <v>Province</v>
      </c>
    </row>
    <row r="176" spans="1:15" x14ac:dyDescent="0.25">
      <c r="A176" t="s">
        <v>324</v>
      </c>
      <c r="B176" t="str">
        <f t="shared" si="8"/>
        <v>Vosges</v>
      </c>
      <c r="C176" t="s">
        <v>428</v>
      </c>
      <c r="D176" t="s">
        <v>431</v>
      </c>
      <c r="E176" t="s">
        <v>432</v>
      </c>
      <c r="F176" t="s">
        <v>1093</v>
      </c>
      <c r="G176" t="s">
        <v>21</v>
      </c>
      <c r="H176" s="5">
        <v>8969</v>
      </c>
      <c r="I176" s="1">
        <v>13087</v>
      </c>
      <c r="J176" s="1">
        <v>17619</v>
      </c>
      <c r="K176" s="1">
        <f t="shared" si="9"/>
        <v>747</v>
      </c>
      <c r="L176" s="1">
        <f t="shared" si="9"/>
        <v>1091</v>
      </c>
      <c r="M176" s="1">
        <f t="shared" si="9"/>
        <v>1468</v>
      </c>
      <c r="N176" t="str">
        <f t="shared" si="10"/>
        <v>GRAND EST|88 - Vosges|CC de la Porte des Vosges Méridionales</v>
      </c>
      <c r="O176" t="str">
        <f t="shared" si="11"/>
        <v>Province</v>
      </c>
    </row>
    <row r="177" spans="1:15" x14ac:dyDescent="0.25">
      <c r="A177" t="s">
        <v>433</v>
      </c>
      <c r="B177" t="str">
        <f t="shared" si="8"/>
        <v>-Guadeloupe</v>
      </c>
      <c r="C177" t="s">
        <v>435</v>
      </c>
      <c r="D177" t="s">
        <v>436</v>
      </c>
      <c r="E177" t="s">
        <v>437</v>
      </c>
      <c r="F177" t="s">
        <v>1093</v>
      </c>
      <c r="G177" t="s">
        <v>21</v>
      </c>
      <c r="H177" s="5">
        <v>8621</v>
      </c>
      <c r="I177" s="1">
        <v>13662</v>
      </c>
      <c r="J177" s="1">
        <v>20294</v>
      </c>
      <c r="K177" s="1">
        <f t="shared" si="9"/>
        <v>718</v>
      </c>
      <c r="L177" s="1">
        <f t="shared" si="9"/>
        <v>1139</v>
      </c>
      <c r="M177" s="1">
        <f t="shared" si="9"/>
        <v>1691</v>
      </c>
      <c r="N177" t="str">
        <f t="shared" si="10"/>
        <v>GUADELOUPE|97 - -Guadeloupe|CA CAP Excellence</v>
      </c>
      <c r="O177" t="str">
        <f t="shared" si="11"/>
        <v>OM</v>
      </c>
    </row>
    <row r="178" spans="1:15" x14ac:dyDescent="0.25">
      <c r="A178" t="s">
        <v>433</v>
      </c>
      <c r="B178" t="str">
        <f t="shared" si="8"/>
        <v>-Guadeloupe</v>
      </c>
      <c r="C178" t="s">
        <v>435</v>
      </c>
      <c r="D178" t="s">
        <v>438</v>
      </c>
      <c r="E178" t="s">
        <v>439</v>
      </c>
      <c r="F178" t="s">
        <v>1093</v>
      </c>
      <c r="G178" t="s">
        <v>21</v>
      </c>
      <c r="H178" s="5">
        <v>8388</v>
      </c>
      <c r="I178" s="1">
        <v>13154</v>
      </c>
      <c r="J178" s="1">
        <v>20235</v>
      </c>
      <c r="K178" s="1">
        <f t="shared" si="9"/>
        <v>699</v>
      </c>
      <c r="L178" s="1">
        <f t="shared" si="9"/>
        <v>1096</v>
      </c>
      <c r="M178" s="1">
        <f t="shared" si="9"/>
        <v>1686</v>
      </c>
      <c r="N178" t="str">
        <f t="shared" si="10"/>
        <v>GUADELOUPE|97 - -Guadeloupe|CA du Nord Basse-Terre</v>
      </c>
      <c r="O178" t="str">
        <f t="shared" si="11"/>
        <v>OM</v>
      </c>
    </row>
    <row r="179" spans="1:15" x14ac:dyDescent="0.25">
      <c r="A179" t="s">
        <v>433</v>
      </c>
      <c r="B179" t="str">
        <f t="shared" si="8"/>
        <v>-Guadeloupe</v>
      </c>
      <c r="C179" t="s">
        <v>435</v>
      </c>
      <c r="D179" t="s">
        <v>440</v>
      </c>
      <c r="E179" t="s">
        <v>441</v>
      </c>
      <c r="F179" t="s">
        <v>1093</v>
      </c>
      <c r="G179" t="s">
        <v>21</v>
      </c>
      <c r="H179" s="5">
        <v>7782</v>
      </c>
      <c r="I179" s="1">
        <v>12408</v>
      </c>
      <c r="J179" s="1">
        <v>18618</v>
      </c>
      <c r="K179" s="1">
        <f t="shared" si="9"/>
        <v>649</v>
      </c>
      <c r="L179" s="1">
        <f t="shared" si="9"/>
        <v>1034</v>
      </c>
      <c r="M179" s="1">
        <f t="shared" si="9"/>
        <v>1552</v>
      </c>
      <c r="N179" t="str">
        <f t="shared" si="10"/>
        <v>GUADELOUPE|97 - -Guadeloupe|CA du Nord Grande Terre</v>
      </c>
      <c r="O179" t="str">
        <f t="shared" si="11"/>
        <v>OM</v>
      </c>
    </row>
    <row r="180" spans="1:15" x14ac:dyDescent="0.25">
      <c r="A180" t="s">
        <v>433</v>
      </c>
      <c r="B180" t="str">
        <f t="shared" si="8"/>
        <v>-Guadeloupe</v>
      </c>
      <c r="C180" t="s">
        <v>435</v>
      </c>
      <c r="D180" t="s">
        <v>442</v>
      </c>
      <c r="E180" t="s">
        <v>443</v>
      </c>
      <c r="F180" t="s">
        <v>1093</v>
      </c>
      <c r="G180" t="s">
        <v>21</v>
      </c>
      <c r="H180" s="5">
        <v>7883</v>
      </c>
      <c r="I180" s="1">
        <v>12304</v>
      </c>
      <c r="J180" s="1">
        <v>19089</v>
      </c>
      <c r="K180" s="1">
        <f t="shared" si="9"/>
        <v>657</v>
      </c>
      <c r="L180" s="1">
        <f t="shared" si="9"/>
        <v>1025</v>
      </c>
      <c r="M180" s="1">
        <f t="shared" si="9"/>
        <v>1591</v>
      </c>
      <c r="N180" t="str">
        <f t="shared" si="10"/>
        <v>GUADELOUPE|97 - -Guadeloupe|CA Grand Sud Caraïbe</v>
      </c>
      <c r="O180" t="str">
        <f t="shared" si="11"/>
        <v>OM</v>
      </c>
    </row>
    <row r="181" spans="1:15" x14ac:dyDescent="0.25">
      <c r="A181" t="s">
        <v>433</v>
      </c>
      <c r="B181" t="str">
        <f t="shared" si="8"/>
        <v>-Guadeloupe</v>
      </c>
      <c r="C181" t="s">
        <v>435</v>
      </c>
      <c r="D181" t="s">
        <v>444</v>
      </c>
      <c r="E181" t="s">
        <v>445</v>
      </c>
      <c r="F181" t="s">
        <v>1093</v>
      </c>
      <c r="G181" t="s">
        <v>21</v>
      </c>
      <c r="H181" s="5">
        <v>7620</v>
      </c>
      <c r="I181" s="1">
        <v>12297</v>
      </c>
      <c r="J181" s="1">
        <v>18495</v>
      </c>
      <c r="K181" s="1">
        <f t="shared" si="9"/>
        <v>635</v>
      </c>
      <c r="L181" s="1">
        <f t="shared" si="9"/>
        <v>1025</v>
      </c>
      <c r="M181" s="1">
        <f t="shared" si="9"/>
        <v>1541</v>
      </c>
      <c r="N181" t="str">
        <f t="shared" si="10"/>
        <v>GUADELOUPE|97 - -Guadeloupe|CA La Riviéra du Levant</v>
      </c>
      <c r="O181" t="str">
        <f t="shared" si="11"/>
        <v>OM</v>
      </c>
    </row>
    <row r="182" spans="1:15" x14ac:dyDescent="0.25">
      <c r="A182" t="s">
        <v>446</v>
      </c>
      <c r="B182" t="str">
        <f t="shared" si="8"/>
        <v>-Guyane</v>
      </c>
      <c r="C182" t="s">
        <v>448</v>
      </c>
      <c r="D182" t="s">
        <v>449</v>
      </c>
      <c r="E182" t="s">
        <v>450</v>
      </c>
      <c r="F182" t="s">
        <v>1093</v>
      </c>
      <c r="G182" t="s">
        <v>21</v>
      </c>
      <c r="H182" s="5">
        <v>8181</v>
      </c>
      <c r="I182" s="1">
        <v>13200</v>
      </c>
      <c r="J182" s="1">
        <v>20320</v>
      </c>
      <c r="K182" s="1">
        <f t="shared" si="9"/>
        <v>682</v>
      </c>
      <c r="L182" s="1">
        <f t="shared" si="9"/>
        <v>1100</v>
      </c>
      <c r="M182" s="1">
        <f t="shared" si="9"/>
        <v>1693</v>
      </c>
      <c r="N182" t="str">
        <f t="shared" si="10"/>
        <v>GUYANE|97 - -Guyane|CA du Centre Littoral</v>
      </c>
      <c r="O182" t="str">
        <f t="shared" si="11"/>
        <v>OM</v>
      </c>
    </row>
    <row r="183" spans="1:15" x14ac:dyDescent="0.25">
      <c r="A183" t="s">
        <v>446</v>
      </c>
      <c r="B183" t="str">
        <f t="shared" si="8"/>
        <v>-Guyane</v>
      </c>
      <c r="C183" t="s">
        <v>448</v>
      </c>
      <c r="D183" t="s">
        <v>451</v>
      </c>
      <c r="E183" t="s">
        <v>452</v>
      </c>
      <c r="F183" t="s">
        <v>1093</v>
      </c>
      <c r="G183" t="s">
        <v>21</v>
      </c>
      <c r="H183" s="5">
        <v>7488</v>
      </c>
      <c r="I183" s="1">
        <v>10973</v>
      </c>
      <c r="J183" s="1">
        <v>17793</v>
      </c>
      <c r="K183" s="1">
        <f t="shared" si="9"/>
        <v>624</v>
      </c>
      <c r="L183" s="1">
        <f t="shared" si="9"/>
        <v>914</v>
      </c>
      <c r="M183" s="1">
        <f t="shared" si="9"/>
        <v>1483</v>
      </c>
      <c r="N183" t="str">
        <f t="shared" si="10"/>
        <v>GUYANE|97 - -Guyane|CC de l'Ouest Guyanais</v>
      </c>
      <c r="O183" t="str">
        <f t="shared" si="11"/>
        <v>OM</v>
      </c>
    </row>
    <row r="184" spans="1:15" x14ac:dyDescent="0.25">
      <c r="A184" t="s">
        <v>446</v>
      </c>
      <c r="B184" t="str">
        <f t="shared" si="8"/>
        <v>-Guyane</v>
      </c>
      <c r="C184" t="s">
        <v>448</v>
      </c>
      <c r="D184" t="s">
        <v>453</v>
      </c>
      <c r="E184" t="s">
        <v>454</v>
      </c>
      <c r="F184" t="s">
        <v>1093</v>
      </c>
      <c r="G184" t="s">
        <v>21</v>
      </c>
      <c r="H184" s="5">
        <v>7466</v>
      </c>
      <c r="I184" s="1">
        <v>11700</v>
      </c>
      <c r="J184" s="1">
        <v>18437</v>
      </c>
      <c r="K184" s="1">
        <f t="shared" si="9"/>
        <v>622</v>
      </c>
      <c r="L184" s="1">
        <f t="shared" si="9"/>
        <v>975</v>
      </c>
      <c r="M184" s="1">
        <f t="shared" si="9"/>
        <v>1536</v>
      </c>
      <c r="N184" t="str">
        <f t="shared" si="10"/>
        <v>GUYANE|97 - -Guyane|CC des Savanes</v>
      </c>
      <c r="O184" t="str">
        <f t="shared" si="11"/>
        <v>OM</v>
      </c>
    </row>
    <row r="185" spans="1:15" x14ac:dyDescent="0.25">
      <c r="A185" t="s">
        <v>455</v>
      </c>
      <c r="B185" t="str">
        <f t="shared" si="8"/>
        <v>Aisne</v>
      </c>
      <c r="C185" t="s">
        <v>457</v>
      </c>
      <c r="D185" t="s">
        <v>458</v>
      </c>
      <c r="E185" t="s">
        <v>459</v>
      </c>
      <c r="F185" t="s">
        <v>1093</v>
      </c>
      <c r="G185" t="s">
        <v>21</v>
      </c>
      <c r="H185" s="5">
        <v>8067</v>
      </c>
      <c r="I185" s="1">
        <v>12192</v>
      </c>
      <c r="J185" s="1">
        <v>17100</v>
      </c>
      <c r="K185" s="1">
        <f t="shared" si="9"/>
        <v>672</v>
      </c>
      <c r="L185" s="1">
        <f t="shared" si="9"/>
        <v>1016</v>
      </c>
      <c r="M185" s="1">
        <f t="shared" si="9"/>
        <v>1425</v>
      </c>
      <c r="N185" t="str">
        <f t="shared" si="10"/>
        <v>HAUTS-DE-FRANCE|02 - Aisne|CA Chauny Tergnier La Fère</v>
      </c>
      <c r="O185" t="str">
        <f t="shared" si="11"/>
        <v>HDF</v>
      </c>
    </row>
    <row r="186" spans="1:15" x14ac:dyDescent="0.25">
      <c r="A186" t="s">
        <v>455</v>
      </c>
      <c r="B186" t="str">
        <f t="shared" si="8"/>
        <v>Aisne</v>
      </c>
      <c r="C186" t="s">
        <v>457</v>
      </c>
      <c r="D186" t="s">
        <v>460</v>
      </c>
      <c r="E186" t="s">
        <v>461</v>
      </c>
      <c r="F186" t="s">
        <v>1093</v>
      </c>
      <c r="G186" t="s">
        <v>21</v>
      </c>
      <c r="H186" s="5">
        <v>8520</v>
      </c>
      <c r="I186" s="1">
        <v>13058</v>
      </c>
      <c r="J186" s="1">
        <v>18126</v>
      </c>
      <c r="K186" s="1">
        <f t="shared" si="9"/>
        <v>710</v>
      </c>
      <c r="L186" s="1">
        <f t="shared" si="9"/>
        <v>1088</v>
      </c>
      <c r="M186" s="1">
        <f t="shared" si="9"/>
        <v>1511</v>
      </c>
      <c r="N186" t="str">
        <f t="shared" si="10"/>
        <v>HAUTS-DE-FRANCE|02 - Aisne|CA de la Région de Château-Thierry</v>
      </c>
      <c r="O186" t="str">
        <f t="shared" si="11"/>
        <v>HDF</v>
      </c>
    </row>
    <row r="187" spans="1:15" x14ac:dyDescent="0.25">
      <c r="A187" t="s">
        <v>455</v>
      </c>
      <c r="B187" t="str">
        <f t="shared" si="8"/>
        <v>Aisne</v>
      </c>
      <c r="C187" t="s">
        <v>457</v>
      </c>
      <c r="D187" t="s">
        <v>462</v>
      </c>
      <c r="E187" t="s">
        <v>463</v>
      </c>
      <c r="F187" t="s">
        <v>1093</v>
      </c>
      <c r="G187" t="s">
        <v>21</v>
      </c>
      <c r="H187" s="5">
        <v>8050</v>
      </c>
      <c r="I187" s="1">
        <v>12304</v>
      </c>
      <c r="J187" s="1">
        <v>16860</v>
      </c>
      <c r="K187" s="1">
        <f t="shared" si="9"/>
        <v>671</v>
      </c>
      <c r="L187" s="1">
        <f t="shared" si="9"/>
        <v>1025</v>
      </c>
      <c r="M187" s="1">
        <f t="shared" si="9"/>
        <v>1405</v>
      </c>
      <c r="N187" t="str">
        <f t="shared" si="10"/>
        <v>HAUTS-DE-FRANCE|02 - Aisne|CA du Pays de Laon</v>
      </c>
      <c r="O187" t="str">
        <f t="shared" si="11"/>
        <v>HDF</v>
      </c>
    </row>
    <row r="188" spans="1:15" x14ac:dyDescent="0.25">
      <c r="A188" t="s">
        <v>455</v>
      </c>
      <c r="B188" t="str">
        <f t="shared" si="8"/>
        <v>Aisne</v>
      </c>
      <c r="C188" t="s">
        <v>457</v>
      </c>
      <c r="D188" t="s">
        <v>464</v>
      </c>
      <c r="E188" t="s">
        <v>465</v>
      </c>
      <c r="F188" t="s">
        <v>1093</v>
      </c>
      <c r="G188" t="s">
        <v>21</v>
      </c>
      <c r="H188" s="5">
        <v>7796</v>
      </c>
      <c r="I188" s="1">
        <v>12082</v>
      </c>
      <c r="J188" s="1">
        <v>16632</v>
      </c>
      <c r="K188" s="1">
        <f t="shared" si="9"/>
        <v>650</v>
      </c>
      <c r="L188" s="1">
        <f t="shared" si="9"/>
        <v>1007</v>
      </c>
      <c r="M188" s="1">
        <f t="shared" si="9"/>
        <v>1386</v>
      </c>
      <c r="N188" t="str">
        <f t="shared" si="10"/>
        <v>HAUTS-DE-FRANCE|02 - Aisne|CA du Saint-Quentinois</v>
      </c>
      <c r="O188" t="str">
        <f t="shared" si="11"/>
        <v>HDF</v>
      </c>
    </row>
    <row r="189" spans="1:15" x14ac:dyDescent="0.25">
      <c r="A189" t="s">
        <v>455</v>
      </c>
      <c r="B189" t="str">
        <f t="shared" si="8"/>
        <v>Aisne</v>
      </c>
      <c r="C189" t="s">
        <v>457</v>
      </c>
      <c r="D189" t="s">
        <v>466</v>
      </c>
      <c r="E189" t="s">
        <v>467</v>
      </c>
      <c r="F189" t="s">
        <v>1093</v>
      </c>
      <c r="G189" t="s">
        <v>21</v>
      </c>
      <c r="H189" s="5">
        <v>7752</v>
      </c>
      <c r="I189" s="1">
        <v>11464</v>
      </c>
      <c r="J189" s="1">
        <v>15331</v>
      </c>
      <c r="K189" s="1">
        <f t="shared" si="9"/>
        <v>646</v>
      </c>
      <c r="L189" s="1">
        <f t="shared" si="9"/>
        <v>955</v>
      </c>
      <c r="M189" s="1">
        <f t="shared" si="9"/>
        <v>1278</v>
      </c>
      <c r="N189" t="str">
        <f t="shared" si="10"/>
        <v>HAUTS-DE-FRANCE|02 - Aisne|CC des Trois Rivières</v>
      </c>
      <c r="O189" t="str">
        <f t="shared" si="11"/>
        <v>HDF</v>
      </c>
    </row>
    <row r="190" spans="1:15" x14ac:dyDescent="0.25">
      <c r="A190" t="s">
        <v>455</v>
      </c>
      <c r="B190" t="str">
        <f t="shared" si="8"/>
        <v>Aisne</v>
      </c>
      <c r="C190" t="s">
        <v>457</v>
      </c>
      <c r="D190" t="s">
        <v>468</v>
      </c>
      <c r="E190" t="s">
        <v>469</v>
      </c>
      <c r="F190" t="s">
        <v>1093</v>
      </c>
      <c r="G190" t="s">
        <v>21</v>
      </c>
      <c r="H190" s="5">
        <v>10197</v>
      </c>
      <c r="I190" s="1">
        <v>14444</v>
      </c>
      <c r="J190" s="1">
        <v>19362</v>
      </c>
      <c r="K190" s="1">
        <f t="shared" si="9"/>
        <v>850</v>
      </c>
      <c r="L190" s="1">
        <f t="shared" si="9"/>
        <v>1204</v>
      </c>
      <c r="M190" s="1">
        <f t="shared" si="9"/>
        <v>1614</v>
      </c>
      <c r="N190" t="str">
        <f t="shared" si="10"/>
        <v>HAUTS-DE-FRANCE|02 - Aisne|CC Retz en Valois</v>
      </c>
      <c r="O190" t="str">
        <f t="shared" si="11"/>
        <v>HDF</v>
      </c>
    </row>
    <row r="191" spans="1:15" x14ac:dyDescent="0.25">
      <c r="A191" t="s">
        <v>455</v>
      </c>
      <c r="B191" t="str">
        <f t="shared" si="8"/>
        <v>Aisne</v>
      </c>
      <c r="C191" t="s">
        <v>457</v>
      </c>
      <c r="D191" t="s">
        <v>470</v>
      </c>
      <c r="E191" t="s">
        <v>471</v>
      </c>
      <c r="F191" t="s">
        <v>1093</v>
      </c>
      <c r="G191" t="s">
        <v>21</v>
      </c>
      <c r="H191" s="5">
        <v>8759</v>
      </c>
      <c r="I191" s="1">
        <v>12900</v>
      </c>
      <c r="J191" s="1">
        <v>18000</v>
      </c>
      <c r="K191" s="1">
        <f t="shared" si="9"/>
        <v>730</v>
      </c>
      <c r="L191" s="1">
        <f t="shared" si="9"/>
        <v>1075</v>
      </c>
      <c r="M191" s="1">
        <f t="shared" si="9"/>
        <v>1500</v>
      </c>
      <c r="N191" t="str">
        <f t="shared" si="10"/>
        <v>HAUTS-DE-FRANCE|02 - Aisne|GrandSoissons Agglomération</v>
      </c>
      <c r="O191" t="str">
        <f t="shared" si="11"/>
        <v>HDF</v>
      </c>
    </row>
    <row r="192" spans="1:15" x14ac:dyDescent="0.25">
      <c r="A192" t="s">
        <v>455</v>
      </c>
      <c r="B192" t="str">
        <f t="shared" si="8"/>
        <v>Nord</v>
      </c>
      <c r="C192" t="s">
        <v>473</v>
      </c>
      <c r="D192" t="s">
        <v>474</v>
      </c>
      <c r="E192" t="s">
        <v>475</v>
      </c>
      <c r="F192" t="s">
        <v>1093</v>
      </c>
      <c r="G192" t="s">
        <v>21</v>
      </c>
      <c r="H192" s="5">
        <v>10447</v>
      </c>
      <c r="I192" s="1">
        <v>14094</v>
      </c>
      <c r="J192" s="1">
        <v>19008</v>
      </c>
      <c r="K192" s="1">
        <f t="shared" si="9"/>
        <v>871</v>
      </c>
      <c r="L192" s="1">
        <f t="shared" si="9"/>
        <v>1175</v>
      </c>
      <c r="M192" s="1">
        <f t="shared" si="9"/>
        <v>1584</v>
      </c>
      <c r="N192" t="str">
        <f t="shared" si="10"/>
        <v>HAUTS-DE-FRANCE|59 - Nord|CA Coeur de Flandre</v>
      </c>
      <c r="O192" t="str">
        <f t="shared" si="11"/>
        <v>HDF</v>
      </c>
    </row>
    <row r="193" spans="1:15" x14ac:dyDescent="0.25">
      <c r="A193" t="s">
        <v>455</v>
      </c>
      <c r="B193" t="str">
        <f t="shared" si="8"/>
        <v>Nord</v>
      </c>
      <c r="C193" t="s">
        <v>473</v>
      </c>
      <c r="D193" t="s">
        <v>476</v>
      </c>
      <c r="E193" t="s">
        <v>477</v>
      </c>
      <c r="F193" t="s">
        <v>1093</v>
      </c>
      <c r="G193" t="s">
        <v>21</v>
      </c>
      <c r="H193" s="5">
        <v>8772</v>
      </c>
      <c r="I193" s="1">
        <v>12771</v>
      </c>
      <c r="J193" s="1">
        <v>18000</v>
      </c>
      <c r="K193" s="1">
        <f t="shared" si="9"/>
        <v>731</v>
      </c>
      <c r="L193" s="1">
        <f t="shared" si="9"/>
        <v>1064</v>
      </c>
      <c r="M193" s="1">
        <f t="shared" si="9"/>
        <v>1500</v>
      </c>
      <c r="N193" t="str">
        <f t="shared" si="10"/>
        <v>HAUTS-DE-FRANCE|59 - Nord|CA Coeur d'Ostrevent</v>
      </c>
      <c r="O193" t="str">
        <f t="shared" si="11"/>
        <v>HDF</v>
      </c>
    </row>
    <row r="194" spans="1:15" x14ac:dyDescent="0.25">
      <c r="A194" t="s">
        <v>455</v>
      </c>
      <c r="B194" t="str">
        <f t="shared" ref="B194:B257" si="12">MID(C194,6,LEN(C194))</f>
        <v>Nord</v>
      </c>
      <c r="C194" t="s">
        <v>473</v>
      </c>
      <c r="D194" t="s">
        <v>478</v>
      </c>
      <c r="E194" t="s">
        <v>479</v>
      </c>
      <c r="F194" t="s">
        <v>1093</v>
      </c>
      <c r="G194" t="s">
        <v>21</v>
      </c>
      <c r="H194" s="5">
        <v>8976</v>
      </c>
      <c r="I194" s="1">
        <v>12960</v>
      </c>
      <c r="J194" s="1">
        <v>18000</v>
      </c>
      <c r="K194" s="1">
        <f t="shared" ref="K194:M257" si="13">ROUND(H194/12,0)</f>
        <v>748</v>
      </c>
      <c r="L194" s="1">
        <f t="shared" si="13"/>
        <v>1080</v>
      </c>
      <c r="M194" s="1">
        <f t="shared" si="13"/>
        <v>1500</v>
      </c>
      <c r="N194" t="str">
        <f t="shared" ref="N194:N257" si="14">SUBSTITUTE(
   UPPER(SUBSTITUTE(TRIM(A194), CHAR(160), " ")) &amp; "|" &amp;
   SUBSTITUTE(TRIM(C194), CHAR(160), " ") &amp; "|" &amp;
   SUBSTITUTE(TRIM(D194), CHAR(160), " "),
   "–", "-"
)</f>
        <v>HAUTS-DE-FRANCE|59 - Nord|CA de Cambrai</v>
      </c>
      <c r="O194" t="str">
        <f t="shared" ref="O194:O257" si="15">IF(A194="Hauts-de-France", "HDF",
IF(A194="Île-de-France", "IDF",
IF(OR(A194="Guadeloupe", A194="Martinique", A194="Guyane", A194="La Réunion", A194="Mayotte"), "OM", "Province")))</f>
        <v>HDF</v>
      </c>
    </row>
    <row r="195" spans="1:15" x14ac:dyDescent="0.25">
      <c r="A195" t="s">
        <v>455</v>
      </c>
      <c r="B195" t="str">
        <f t="shared" si="12"/>
        <v>Nord</v>
      </c>
      <c r="C195" t="s">
        <v>473</v>
      </c>
      <c r="D195" t="s">
        <v>480</v>
      </c>
      <c r="E195" t="s">
        <v>481</v>
      </c>
      <c r="F195" t="s">
        <v>1093</v>
      </c>
      <c r="G195" t="s">
        <v>21</v>
      </c>
      <c r="H195" s="5">
        <v>8862</v>
      </c>
      <c r="I195" s="1">
        <v>12948</v>
      </c>
      <c r="J195" s="1">
        <v>18144</v>
      </c>
      <c r="K195" s="1">
        <f t="shared" si="13"/>
        <v>739</v>
      </c>
      <c r="L195" s="1">
        <f t="shared" si="13"/>
        <v>1079</v>
      </c>
      <c r="M195" s="1">
        <f t="shared" si="13"/>
        <v>1512</v>
      </c>
      <c r="N195" t="str">
        <f t="shared" si="14"/>
        <v>HAUTS-DE-FRANCE|59 - Nord|CA de la Porte du Hainaut</v>
      </c>
      <c r="O195" t="str">
        <f t="shared" si="15"/>
        <v>HDF</v>
      </c>
    </row>
    <row r="196" spans="1:15" x14ac:dyDescent="0.25">
      <c r="A196" t="s">
        <v>455</v>
      </c>
      <c r="B196" t="str">
        <f t="shared" si="12"/>
        <v>Nord</v>
      </c>
      <c r="C196" t="s">
        <v>473</v>
      </c>
      <c r="D196" t="s">
        <v>482</v>
      </c>
      <c r="E196" t="s">
        <v>483</v>
      </c>
      <c r="F196" t="s">
        <v>1093</v>
      </c>
      <c r="G196" t="s">
        <v>21</v>
      </c>
      <c r="H196" s="5">
        <v>8905</v>
      </c>
      <c r="I196" s="1">
        <v>13200</v>
      </c>
      <c r="J196" s="1">
        <v>18654</v>
      </c>
      <c r="K196" s="1">
        <f t="shared" si="13"/>
        <v>742</v>
      </c>
      <c r="L196" s="1">
        <f t="shared" si="13"/>
        <v>1100</v>
      </c>
      <c r="M196" s="1">
        <f t="shared" si="13"/>
        <v>1555</v>
      </c>
      <c r="N196" t="str">
        <f t="shared" si="14"/>
        <v>HAUTS-DE-FRANCE|59 - Nord|CA Douaisis Agglo</v>
      </c>
      <c r="O196" t="str">
        <f t="shared" si="15"/>
        <v>HDF</v>
      </c>
    </row>
    <row r="197" spans="1:15" x14ac:dyDescent="0.25">
      <c r="A197" t="s">
        <v>455</v>
      </c>
      <c r="B197" t="str">
        <f t="shared" si="12"/>
        <v>Nord</v>
      </c>
      <c r="C197" t="s">
        <v>473</v>
      </c>
      <c r="D197" t="s">
        <v>484</v>
      </c>
      <c r="E197" t="s">
        <v>485</v>
      </c>
      <c r="F197" t="s">
        <v>1093</v>
      </c>
      <c r="G197" t="s">
        <v>21</v>
      </c>
      <c r="H197" s="5">
        <v>8019</v>
      </c>
      <c r="I197" s="1">
        <v>12072</v>
      </c>
      <c r="J197" s="1">
        <v>16176</v>
      </c>
      <c r="K197" s="1">
        <f t="shared" si="13"/>
        <v>668</v>
      </c>
      <c r="L197" s="1">
        <f t="shared" si="13"/>
        <v>1006</v>
      </c>
      <c r="M197" s="1">
        <f t="shared" si="13"/>
        <v>1348</v>
      </c>
      <c r="N197" t="str">
        <f t="shared" si="14"/>
        <v>HAUTS-DE-FRANCE|59 - Nord|CA du Caudrésis et du Catésis</v>
      </c>
      <c r="O197" t="str">
        <f t="shared" si="15"/>
        <v>HDF</v>
      </c>
    </row>
    <row r="198" spans="1:15" x14ac:dyDescent="0.25">
      <c r="A198" t="s">
        <v>455</v>
      </c>
      <c r="B198" t="str">
        <f t="shared" si="12"/>
        <v>Nord</v>
      </c>
      <c r="C198" t="s">
        <v>473</v>
      </c>
      <c r="D198" t="s">
        <v>486</v>
      </c>
      <c r="E198" t="s">
        <v>487</v>
      </c>
      <c r="F198" t="s">
        <v>1093</v>
      </c>
      <c r="G198" t="s">
        <v>21</v>
      </c>
      <c r="H198" s="5">
        <v>8730</v>
      </c>
      <c r="I198" s="1">
        <v>12800</v>
      </c>
      <c r="J198" s="1">
        <v>18298</v>
      </c>
      <c r="K198" s="1">
        <f t="shared" si="13"/>
        <v>728</v>
      </c>
      <c r="L198" s="1">
        <f t="shared" si="13"/>
        <v>1067</v>
      </c>
      <c r="M198" s="1">
        <f t="shared" si="13"/>
        <v>1525</v>
      </c>
      <c r="N198" t="str">
        <f t="shared" si="14"/>
        <v>HAUTS-DE-FRANCE|59 - Nord|CA Maubeuge Val de Sambre</v>
      </c>
      <c r="O198" t="str">
        <f t="shared" si="15"/>
        <v>HDF</v>
      </c>
    </row>
    <row r="199" spans="1:15" x14ac:dyDescent="0.25">
      <c r="A199" t="s">
        <v>455</v>
      </c>
      <c r="B199" t="str">
        <f t="shared" si="12"/>
        <v>Nord</v>
      </c>
      <c r="C199" t="s">
        <v>473</v>
      </c>
      <c r="D199" t="s">
        <v>488</v>
      </c>
      <c r="E199" t="s">
        <v>489</v>
      </c>
      <c r="F199" t="s">
        <v>1093</v>
      </c>
      <c r="G199" t="s">
        <v>21</v>
      </c>
      <c r="H199" s="5">
        <v>8801</v>
      </c>
      <c r="I199" s="1">
        <v>12694</v>
      </c>
      <c r="J199" s="1">
        <v>18000</v>
      </c>
      <c r="K199" s="1">
        <f t="shared" si="13"/>
        <v>733</v>
      </c>
      <c r="L199" s="1">
        <f t="shared" si="13"/>
        <v>1058</v>
      </c>
      <c r="M199" s="1">
        <f t="shared" si="13"/>
        <v>1500</v>
      </c>
      <c r="N199" t="str">
        <f t="shared" si="14"/>
        <v>HAUTS-DE-FRANCE|59 - Nord|CA Valenciennes Métropole</v>
      </c>
      <c r="O199" t="str">
        <f t="shared" si="15"/>
        <v>HDF</v>
      </c>
    </row>
    <row r="200" spans="1:15" x14ac:dyDescent="0.25">
      <c r="A200" t="s">
        <v>455</v>
      </c>
      <c r="B200" t="str">
        <f t="shared" si="12"/>
        <v>Nord</v>
      </c>
      <c r="C200" t="s">
        <v>473</v>
      </c>
      <c r="D200" t="s">
        <v>490</v>
      </c>
      <c r="E200" t="s">
        <v>491</v>
      </c>
      <c r="F200" t="s">
        <v>1093</v>
      </c>
      <c r="G200" t="s">
        <v>21</v>
      </c>
      <c r="H200" s="5">
        <v>9729</v>
      </c>
      <c r="I200" s="1">
        <v>13512</v>
      </c>
      <c r="J200" s="1">
        <v>18000</v>
      </c>
      <c r="K200" s="1">
        <f t="shared" si="13"/>
        <v>811</v>
      </c>
      <c r="L200" s="1">
        <f t="shared" si="13"/>
        <v>1126</v>
      </c>
      <c r="M200" s="1">
        <f t="shared" si="13"/>
        <v>1500</v>
      </c>
      <c r="N200" t="str">
        <f t="shared" si="14"/>
        <v>HAUTS-DE-FRANCE|59 - Nord|CC du Pays de Mormal</v>
      </c>
      <c r="O200" t="str">
        <f t="shared" si="15"/>
        <v>HDF</v>
      </c>
    </row>
    <row r="201" spans="1:15" x14ac:dyDescent="0.25">
      <c r="A201" t="s">
        <v>455</v>
      </c>
      <c r="B201" t="str">
        <f t="shared" si="12"/>
        <v>Nord</v>
      </c>
      <c r="C201" t="s">
        <v>473</v>
      </c>
      <c r="D201" t="s">
        <v>492</v>
      </c>
      <c r="E201" t="s">
        <v>493</v>
      </c>
      <c r="F201" t="s">
        <v>1093</v>
      </c>
      <c r="G201" t="s">
        <v>21</v>
      </c>
      <c r="H201" s="5">
        <v>7739</v>
      </c>
      <c r="I201" s="1">
        <v>11703</v>
      </c>
      <c r="J201" s="1">
        <v>16218</v>
      </c>
      <c r="K201" s="1">
        <f t="shared" si="13"/>
        <v>645</v>
      </c>
      <c r="L201" s="1">
        <f t="shared" si="13"/>
        <v>975</v>
      </c>
      <c r="M201" s="1">
        <f t="shared" si="13"/>
        <v>1352</v>
      </c>
      <c r="N201" t="str">
        <f t="shared" si="14"/>
        <v>HAUTS-DE-FRANCE|59 - Nord|CC du Sud Avesnois</v>
      </c>
      <c r="O201" t="str">
        <f t="shared" si="15"/>
        <v>HDF</v>
      </c>
    </row>
    <row r="202" spans="1:15" x14ac:dyDescent="0.25">
      <c r="A202" t="s">
        <v>455</v>
      </c>
      <c r="B202" t="str">
        <f t="shared" si="12"/>
        <v>Nord</v>
      </c>
      <c r="C202" t="s">
        <v>473</v>
      </c>
      <c r="D202" t="s">
        <v>494</v>
      </c>
      <c r="E202" t="s">
        <v>495</v>
      </c>
      <c r="F202" t="s">
        <v>1093</v>
      </c>
      <c r="G202" t="s">
        <v>21</v>
      </c>
      <c r="H202" s="5">
        <v>11527</v>
      </c>
      <c r="I202" s="1">
        <v>16080</v>
      </c>
      <c r="J202" s="1">
        <v>20578</v>
      </c>
      <c r="K202" s="1">
        <f t="shared" si="13"/>
        <v>961</v>
      </c>
      <c r="L202" s="1">
        <f t="shared" si="13"/>
        <v>1340</v>
      </c>
      <c r="M202" s="1">
        <f t="shared" si="13"/>
        <v>1715</v>
      </c>
      <c r="N202" t="str">
        <f t="shared" si="14"/>
        <v>HAUTS-DE-FRANCE|59 - Nord|CC Pévèle-Carembault</v>
      </c>
      <c r="O202" t="str">
        <f t="shared" si="15"/>
        <v>HDF</v>
      </c>
    </row>
    <row r="203" spans="1:15" x14ac:dyDescent="0.25">
      <c r="A203" t="s">
        <v>455</v>
      </c>
      <c r="B203" t="str">
        <f t="shared" si="12"/>
        <v>Nord</v>
      </c>
      <c r="C203" t="s">
        <v>473</v>
      </c>
      <c r="D203" t="s">
        <v>496</v>
      </c>
      <c r="E203" t="s">
        <v>497</v>
      </c>
      <c r="F203" t="s">
        <v>1093</v>
      </c>
      <c r="G203" t="s">
        <v>21</v>
      </c>
      <c r="H203" s="5">
        <v>10068</v>
      </c>
      <c r="I203" s="1">
        <v>14400</v>
      </c>
      <c r="J203" s="1">
        <v>19688</v>
      </c>
      <c r="K203" s="1">
        <f t="shared" si="13"/>
        <v>839</v>
      </c>
      <c r="L203" s="1">
        <f t="shared" si="13"/>
        <v>1200</v>
      </c>
      <c r="M203" s="1">
        <f t="shared" si="13"/>
        <v>1641</v>
      </c>
      <c r="N203" t="str">
        <f t="shared" si="14"/>
        <v>HAUTS-DE-FRANCE|59 - Nord|CU de Dunkerque</v>
      </c>
      <c r="O203" t="str">
        <f t="shared" si="15"/>
        <v>HDF</v>
      </c>
    </row>
    <row r="204" spans="1:15" x14ac:dyDescent="0.25">
      <c r="A204" t="s">
        <v>455</v>
      </c>
      <c r="B204" t="str">
        <f t="shared" si="12"/>
        <v>Nord</v>
      </c>
      <c r="C204" t="s">
        <v>473</v>
      </c>
      <c r="D204" t="s">
        <v>498</v>
      </c>
      <c r="E204" t="s">
        <v>499</v>
      </c>
      <c r="F204" t="s">
        <v>1093</v>
      </c>
      <c r="G204" t="s">
        <v>21</v>
      </c>
      <c r="H204" s="5">
        <v>9456</v>
      </c>
      <c r="I204" s="1">
        <v>13935</v>
      </c>
      <c r="J204" s="1">
        <v>19380</v>
      </c>
      <c r="K204" s="1">
        <f t="shared" si="13"/>
        <v>788</v>
      </c>
      <c r="L204" s="1">
        <f t="shared" si="13"/>
        <v>1161</v>
      </c>
      <c r="M204" s="1">
        <f t="shared" si="13"/>
        <v>1615</v>
      </c>
      <c r="N204" t="str">
        <f t="shared" si="14"/>
        <v>HAUTS-DE-FRANCE|59 - Nord|Métropole Européenne de Lille</v>
      </c>
      <c r="O204" t="str">
        <f t="shared" si="15"/>
        <v>HDF</v>
      </c>
    </row>
    <row r="205" spans="1:15" x14ac:dyDescent="0.25">
      <c r="A205" t="s">
        <v>455</v>
      </c>
      <c r="B205" t="str">
        <f t="shared" si="12"/>
        <v>Oise</v>
      </c>
      <c r="C205" t="s">
        <v>501</v>
      </c>
      <c r="D205" t="s">
        <v>502</v>
      </c>
      <c r="E205" t="s">
        <v>503</v>
      </c>
      <c r="F205" t="s">
        <v>1093</v>
      </c>
      <c r="G205" t="s">
        <v>21</v>
      </c>
      <c r="H205" s="5">
        <v>9559</v>
      </c>
      <c r="I205" s="1">
        <v>14156</v>
      </c>
      <c r="J205" s="1">
        <v>19549</v>
      </c>
      <c r="K205" s="1">
        <f t="shared" si="13"/>
        <v>797</v>
      </c>
      <c r="L205" s="1">
        <f t="shared" si="13"/>
        <v>1180</v>
      </c>
      <c r="M205" s="1">
        <f t="shared" si="13"/>
        <v>1629</v>
      </c>
      <c r="N205" t="str">
        <f t="shared" si="14"/>
        <v>HAUTS-DE-FRANCE|60 - Oise|CA Creil Sud Oise</v>
      </c>
      <c r="O205" t="str">
        <f t="shared" si="15"/>
        <v>HDF</v>
      </c>
    </row>
    <row r="206" spans="1:15" x14ac:dyDescent="0.25">
      <c r="A206" t="s">
        <v>455</v>
      </c>
      <c r="B206" t="str">
        <f t="shared" si="12"/>
        <v>Oise</v>
      </c>
      <c r="C206" t="s">
        <v>501</v>
      </c>
      <c r="D206" t="s">
        <v>504</v>
      </c>
      <c r="E206" t="s">
        <v>505</v>
      </c>
      <c r="F206" t="s">
        <v>1093</v>
      </c>
      <c r="G206" t="s">
        <v>21</v>
      </c>
      <c r="H206" s="5">
        <v>10491</v>
      </c>
      <c r="I206" s="1">
        <v>15273</v>
      </c>
      <c r="J206" s="1">
        <v>20556</v>
      </c>
      <c r="K206" s="1">
        <f t="shared" si="13"/>
        <v>874</v>
      </c>
      <c r="L206" s="1">
        <f t="shared" si="13"/>
        <v>1273</v>
      </c>
      <c r="M206" s="1">
        <f t="shared" si="13"/>
        <v>1713</v>
      </c>
      <c r="N206" t="str">
        <f t="shared" si="14"/>
        <v>HAUTS-DE-FRANCE|60 - Oise|CA de la Région de Compiègne et de la Basse Automne</v>
      </c>
      <c r="O206" t="str">
        <f t="shared" si="15"/>
        <v>HDF</v>
      </c>
    </row>
    <row r="207" spans="1:15" x14ac:dyDescent="0.25">
      <c r="A207" t="s">
        <v>455</v>
      </c>
      <c r="B207" t="str">
        <f t="shared" si="12"/>
        <v>Oise</v>
      </c>
      <c r="C207" t="s">
        <v>501</v>
      </c>
      <c r="D207" t="s">
        <v>506</v>
      </c>
      <c r="E207" t="s">
        <v>507</v>
      </c>
      <c r="F207" t="s">
        <v>1093</v>
      </c>
      <c r="G207" t="s">
        <v>21</v>
      </c>
      <c r="H207" s="5">
        <v>9398</v>
      </c>
      <c r="I207" s="1">
        <v>13590</v>
      </c>
      <c r="J207" s="1">
        <v>18953</v>
      </c>
      <c r="K207" s="1">
        <f t="shared" si="13"/>
        <v>783</v>
      </c>
      <c r="L207" s="1">
        <f t="shared" si="13"/>
        <v>1133</v>
      </c>
      <c r="M207" s="1">
        <f t="shared" si="13"/>
        <v>1579</v>
      </c>
      <c r="N207" t="str">
        <f t="shared" si="14"/>
        <v>HAUTS-DE-FRANCE|60 - Oise|CA du Beauvaisis</v>
      </c>
      <c r="O207" t="str">
        <f t="shared" si="15"/>
        <v>HDF</v>
      </c>
    </row>
    <row r="208" spans="1:15" x14ac:dyDescent="0.25">
      <c r="A208" t="s">
        <v>455</v>
      </c>
      <c r="B208" t="str">
        <f t="shared" si="12"/>
        <v>Oise</v>
      </c>
      <c r="C208" t="s">
        <v>501</v>
      </c>
      <c r="D208" t="s">
        <v>508</v>
      </c>
      <c r="E208" t="s">
        <v>509</v>
      </c>
      <c r="F208" t="s">
        <v>1093</v>
      </c>
      <c r="G208" t="s">
        <v>21</v>
      </c>
      <c r="H208" s="5">
        <v>12036</v>
      </c>
      <c r="I208" s="1">
        <v>17538</v>
      </c>
      <c r="J208" s="1">
        <v>22625</v>
      </c>
      <c r="K208" s="1">
        <f t="shared" si="13"/>
        <v>1003</v>
      </c>
      <c r="L208" s="1">
        <f t="shared" si="13"/>
        <v>1462</v>
      </c>
      <c r="M208" s="1">
        <f t="shared" si="13"/>
        <v>1885</v>
      </c>
      <c r="N208" t="str">
        <f t="shared" si="14"/>
        <v>HAUTS-DE-FRANCE|60 - Oise|CC de l'Aire Cantilienne</v>
      </c>
      <c r="O208" t="str">
        <f t="shared" si="15"/>
        <v>HDF</v>
      </c>
    </row>
    <row r="209" spans="1:15" x14ac:dyDescent="0.25">
      <c r="A209" t="s">
        <v>455</v>
      </c>
      <c r="B209" t="str">
        <f t="shared" si="12"/>
        <v>Oise</v>
      </c>
      <c r="C209" t="s">
        <v>501</v>
      </c>
      <c r="D209" t="s">
        <v>510</v>
      </c>
      <c r="E209" t="s">
        <v>511</v>
      </c>
      <c r="F209" t="s">
        <v>1093</v>
      </c>
      <c r="G209" t="s">
        <v>21</v>
      </c>
      <c r="H209" s="5">
        <v>11610</v>
      </c>
      <c r="I209" s="1">
        <v>16800</v>
      </c>
      <c r="J209" s="1">
        <v>21600</v>
      </c>
      <c r="K209" s="1">
        <f t="shared" si="13"/>
        <v>968</v>
      </c>
      <c r="L209" s="1">
        <f t="shared" si="13"/>
        <v>1400</v>
      </c>
      <c r="M209" s="1">
        <f t="shared" si="13"/>
        <v>1800</v>
      </c>
      <c r="N209" t="str">
        <f t="shared" si="14"/>
        <v>HAUTS-DE-FRANCE|60 - Oise|CC des Pays d'Oise et d'Halatte</v>
      </c>
      <c r="O209" t="str">
        <f t="shared" si="15"/>
        <v>HDF</v>
      </c>
    </row>
    <row r="210" spans="1:15" x14ac:dyDescent="0.25">
      <c r="A210" t="s">
        <v>455</v>
      </c>
      <c r="B210" t="str">
        <f t="shared" si="12"/>
        <v>Oise</v>
      </c>
      <c r="C210" t="s">
        <v>501</v>
      </c>
      <c r="D210" t="s">
        <v>512</v>
      </c>
      <c r="E210" t="s">
        <v>513</v>
      </c>
      <c r="F210" t="s">
        <v>1093</v>
      </c>
      <c r="G210" t="s">
        <v>21</v>
      </c>
      <c r="H210" s="5">
        <v>11169</v>
      </c>
      <c r="I210" s="1">
        <v>15696</v>
      </c>
      <c r="J210" s="1">
        <v>20400</v>
      </c>
      <c r="K210" s="1">
        <f t="shared" si="13"/>
        <v>931</v>
      </c>
      <c r="L210" s="1">
        <f t="shared" si="13"/>
        <v>1308</v>
      </c>
      <c r="M210" s="1">
        <f t="shared" si="13"/>
        <v>1700</v>
      </c>
      <c r="N210" t="str">
        <f t="shared" si="14"/>
        <v>HAUTS-DE-FRANCE|60 - Oise|CC des Sablons</v>
      </c>
      <c r="O210" t="str">
        <f t="shared" si="15"/>
        <v>HDF</v>
      </c>
    </row>
    <row r="211" spans="1:15" x14ac:dyDescent="0.25">
      <c r="A211" t="s">
        <v>455</v>
      </c>
      <c r="B211" t="str">
        <f t="shared" si="12"/>
        <v>Oise</v>
      </c>
      <c r="C211" t="s">
        <v>501</v>
      </c>
      <c r="D211" t="s">
        <v>514</v>
      </c>
      <c r="E211" t="s">
        <v>515</v>
      </c>
      <c r="F211" t="s">
        <v>1093</v>
      </c>
      <c r="G211" t="s">
        <v>21</v>
      </c>
      <c r="H211" s="5">
        <v>11210</v>
      </c>
      <c r="I211" s="1">
        <v>15224</v>
      </c>
      <c r="J211" s="1">
        <v>20376</v>
      </c>
      <c r="K211" s="1">
        <f t="shared" si="13"/>
        <v>934</v>
      </c>
      <c r="L211" s="1">
        <f t="shared" si="13"/>
        <v>1269</v>
      </c>
      <c r="M211" s="1">
        <f t="shared" si="13"/>
        <v>1698</v>
      </c>
      <c r="N211" t="str">
        <f t="shared" si="14"/>
        <v>HAUTS-DE-FRANCE|60 - Oise|CC du Clermontois</v>
      </c>
      <c r="O211" t="str">
        <f t="shared" si="15"/>
        <v>HDF</v>
      </c>
    </row>
    <row r="212" spans="1:15" x14ac:dyDescent="0.25">
      <c r="A212" t="s">
        <v>455</v>
      </c>
      <c r="B212" t="str">
        <f t="shared" si="12"/>
        <v>Oise</v>
      </c>
      <c r="C212" t="s">
        <v>501</v>
      </c>
      <c r="D212" t="s">
        <v>516</v>
      </c>
      <c r="E212" t="s">
        <v>517</v>
      </c>
      <c r="F212" t="s">
        <v>1093</v>
      </c>
      <c r="G212" t="s">
        <v>21</v>
      </c>
      <c r="H212" s="5">
        <v>12060</v>
      </c>
      <c r="I212" s="1">
        <v>16980</v>
      </c>
      <c r="J212" s="1">
        <v>21606</v>
      </c>
      <c r="K212" s="1">
        <f t="shared" si="13"/>
        <v>1005</v>
      </c>
      <c r="L212" s="1">
        <f t="shared" si="13"/>
        <v>1415</v>
      </c>
      <c r="M212" s="1">
        <f t="shared" si="13"/>
        <v>1801</v>
      </c>
      <c r="N212" t="str">
        <f t="shared" si="14"/>
        <v>HAUTS-DE-FRANCE|60 - Oise|CC du Pays de Valois</v>
      </c>
      <c r="O212" t="str">
        <f t="shared" si="15"/>
        <v>HDF</v>
      </c>
    </row>
    <row r="213" spans="1:15" x14ac:dyDescent="0.25">
      <c r="A213" t="s">
        <v>455</v>
      </c>
      <c r="B213" t="str">
        <f t="shared" si="12"/>
        <v>Oise</v>
      </c>
      <c r="C213" t="s">
        <v>501</v>
      </c>
      <c r="D213" t="s">
        <v>518</v>
      </c>
      <c r="E213" t="s">
        <v>519</v>
      </c>
      <c r="F213" t="s">
        <v>1093</v>
      </c>
      <c r="G213" t="s">
        <v>21</v>
      </c>
      <c r="H213" s="5">
        <v>8714</v>
      </c>
      <c r="I213" s="1">
        <v>12396</v>
      </c>
      <c r="J213" s="1">
        <v>17019</v>
      </c>
      <c r="K213" s="1">
        <f t="shared" si="13"/>
        <v>726</v>
      </c>
      <c r="L213" s="1">
        <f t="shared" si="13"/>
        <v>1033</v>
      </c>
      <c r="M213" s="1">
        <f t="shared" si="13"/>
        <v>1418</v>
      </c>
      <c r="N213" t="str">
        <f t="shared" si="14"/>
        <v>HAUTS-DE-FRANCE|60 - Oise|CC du Pays Noyonnais</v>
      </c>
      <c r="O213" t="str">
        <f t="shared" si="15"/>
        <v>HDF</v>
      </c>
    </row>
    <row r="214" spans="1:15" x14ac:dyDescent="0.25">
      <c r="A214" t="s">
        <v>455</v>
      </c>
      <c r="B214" t="str">
        <f t="shared" si="12"/>
        <v>Oise</v>
      </c>
      <c r="C214" t="s">
        <v>501</v>
      </c>
      <c r="D214" t="s">
        <v>520</v>
      </c>
      <c r="E214" t="s">
        <v>521</v>
      </c>
      <c r="F214" t="s">
        <v>1093</v>
      </c>
      <c r="G214" t="s">
        <v>21</v>
      </c>
      <c r="H214" s="5">
        <v>12287</v>
      </c>
      <c r="I214" s="1">
        <v>17153</v>
      </c>
      <c r="J214" s="1">
        <v>21980</v>
      </c>
      <c r="K214" s="1">
        <f t="shared" si="13"/>
        <v>1024</v>
      </c>
      <c r="L214" s="1">
        <f t="shared" si="13"/>
        <v>1429</v>
      </c>
      <c r="M214" s="1">
        <f t="shared" si="13"/>
        <v>1832</v>
      </c>
      <c r="N214" t="str">
        <f t="shared" si="14"/>
        <v>HAUTS-DE-FRANCE|60 - Oise|CC Thelloise</v>
      </c>
      <c r="O214" t="str">
        <f t="shared" si="15"/>
        <v>HDF</v>
      </c>
    </row>
    <row r="215" spans="1:15" x14ac:dyDescent="0.25">
      <c r="A215" t="s">
        <v>455</v>
      </c>
      <c r="B215" t="str">
        <f t="shared" si="12"/>
        <v>Pas-de-Calais</v>
      </c>
      <c r="C215" t="s">
        <v>523</v>
      </c>
      <c r="D215" t="s">
        <v>524</v>
      </c>
      <c r="E215" t="s">
        <v>525</v>
      </c>
      <c r="F215" t="s">
        <v>1093</v>
      </c>
      <c r="G215" t="s">
        <v>21</v>
      </c>
      <c r="H215" s="5">
        <v>9040</v>
      </c>
      <c r="I215" s="1">
        <v>13190</v>
      </c>
      <c r="J215" s="1">
        <v>18613</v>
      </c>
      <c r="K215" s="1">
        <f t="shared" si="13"/>
        <v>753</v>
      </c>
      <c r="L215" s="1">
        <f t="shared" si="13"/>
        <v>1099</v>
      </c>
      <c r="M215" s="1">
        <f t="shared" si="13"/>
        <v>1551</v>
      </c>
      <c r="N215" t="str">
        <f t="shared" si="14"/>
        <v>HAUTS-DE-FRANCE|62 - Pas-de-Calais|CA de Béthune-Bruay, Artois-Lys Romane</v>
      </c>
      <c r="O215" t="str">
        <f t="shared" si="15"/>
        <v>HDF</v>
      </c>
    </row>
    <row r="216" spans="1:15" x14ac:dyDescent="0.25">
      <c r="A216" t="s">
        <v>455</v>
      </c>
      <c r="B216" t="str">
        <f t="shared" si="12"/>
        <v>Pas-de-Calais</v>
      </c>
      <c r="C216" t="s">
        <v>523</v>
      </c>
      <c r="D216" t="s">
        <v>526</v>
      </c>
      <c r="E216" t="s">
        <v>527</v>
      </c>
      <c r="F216" t="s">
        <v>1093</v>
      </c>
      <c r="G216" t="s">
        <v>21</v>
      </c>
      <c r="H216" s="5">
        <v>9189</v>
      </c>
      <c r="I216" s="1">
        <v>13400</v>
      </c>
      <c r="J216" s="1">
        <v>18746</v>
      </c>
      <c r="K216" s="1">
        <f t="shared" si="13"/>
        <v>766</v>
      </c>
      <c r="L216" s="1">
        <f t="shared" si="13"/>
        <v>1117</v>
      </c>
      <c r="M216" s="1">
        <f t="shared" si="13"/>
        <v>1562</v>
      </c>
      <c r="N216" t="str">
        <f t="shared" si="14"/>
        <v>HAUTS-DE-FRANCE|62 - Pas-de-Calais|CA de Lens - Liévin</v>
      </c>
      <c r="O216" t="str">
        <f t="shared" si="15"/>
        <v>HDF</v>
      </c>
    </row>
    <row r="217" spans="1:15" x14ac:dyDescent="0.25">
      <c r="A217" t="s">
        <v>455</v>
      </c>
      <c r="B217" t="str">
        <f t="shared" si="12"/>
        <v>Pas-de-Calais</v>
      </c>
      <c r="C217" t="s">
        <v>523</v>
      </c>
      <c r="D217" t="s">
        <v>528</v>
      </c>
      <c r="E217" t="s">
        <v>529</v>
      </c>
      <c r="F217" t="s">
        <v>1093</v>
      </c>
      <c r="G217" t="s">
        <v>21</v>
      </c>
      <c r="H217" s="5">
        <v>10512</v>
      </c>
      <c r="I217" s="1">
        <v>14251</v>
      </c>
      <c r="J217" s="1">
        <v>19200</v>
      </c>
      <c r="K217" s="1">
        <f t="shared" si="13"/>
        <v>876</v>
      </c>
      <c r="L217" s="1">
        <f t="shared" si="13"/>
        <v>1188</v>
      </c>
      <c r="M217" s="1">
        <f t="shared" si="13"/>
        <v>1600</v>
      </c>
      <c r="N217" t="str">
        <f t="shared" si="14"/>
        <v>HAUTS-DE-FRANCE|62 - Pas-de-Calais|CA des Deux Baies en Montreuillois</v>
      </c>
      <c r="O217" t="str">
        <f t="shared" si="15"/>
        <v>HDF</v>
      </c>
    </row>
    <row r="218" spans="1:15" x14ac:dyDescent="0.25">
      <c r="A218" t="s">
        <v>455</v>
      </c>
      <c r="B218" t="str">
        <f t="shared" si="12"/>
        <v>Pas-de-Calais</v>
      </c>
      <c r="C218" t="s">
        <v>523</v>
      </c>
      <c r="D218" t="s">
        <v>530</v>
      </c>
      <c r="E218" t="s">
        <v>531</v>
      </c>
      <c r="F218" t="s">
        <v>1093</v>
      </c>
      <c r="G218" t="s">
        <v>21</v>
      </c>
      <c r="H218" s="5">
        <v>9608</v>
      </c>
      <c r="I218" s="1">
        <v>13800</v>
      </c>
      <c r="J218" s="1">
        <v>19200</v>
      </c>
      <c r="K218" s="1">
        <f t="shared" si="13"/>
        <v>801</v>
      </c>
      <c r="L218" s="1">
        <f t="shared" si="13"/>
        <v>1150</v>
      </c>
      <c r="M218" s="1">
        <f t="shared" si="13"/>
        <v>1600</v>
      </c>
      <c r="N218" t="str">
        <f t="shared" si="14"/>
        <v>HAUTS-DE-FRANCE|62 - Pas-de-Calais|CA d'Hénin-Carvin</v>
      </c>
      <c r="O218" t="str">
        <f t="shared" si="15"/>
        <v>HDF</v>
      </c>
    </row>
    <row r="219" spans="1:15" x14ac:dyDescent="0.25">
      <c r="A219" t="s">
        <v>455</v>
      </c>
      <c r="B219" t="str">
        <f t="shared" si="12"/>
        <v>Pas-de-Calais</v>
      </c>
      <c r="C219" t="s">
        <v>523</v>
      </c>
      <c r="D219" t="s">
        <v>532</v>
      </c>
      <c r="E219" t="s">
        <v>533</v>
      </c>
      <c r="F219" t="s">
        <v>1093</v>
      </c>
      <c r="G219" t="s">
        <v>21</v>
      </c>
      <c r="H219" s="5">
        <v>9344</v>
      </c>
      <c r="I219" s="1">
        <v>13600</v>
      </c>
      <c r="J219" s="1">
        <v>18794</v>
      </c>
      <c r="K219" s="1">
        <f t="shared" si="13"/>
        <v>779</v>
      </c>
      <c r="L219" s="1">
        <f t="shared" si="13"/>
        <v>1133</v>
      </c>
      <c r="M219" s="1">
        <f t="shared" si="13"/>
        <v>1566</v>
      </c>
      <c r="N219" t="str">
        <f t="shared" si="14"/>
        <v>HAUTS-DE-FRANCE|62 - Pas-de-Calais|CA du Boulonnais</v>
      </c>
      <c r="O219" t="str">
        <f t="shared" si="15"/>
        <v>HDF</v>
      </c>
    </row>
    <row r="220" spans="1:15" x14ac:dyDescent="0.25">
      <c r="A220" t="s">
        <v>455</v>
      </c>
      <c r="B220" t="str">
        <f t="shared" si="12"/>
        <v>Pas-de-Calais</v>
      </c>
      <c r="C220" t="s">
        <v>523</v>
      </c>
      <c r="D220" t="s">
        <v>534</v>
      </c>
      <c r="E220" t="s">
        <v>535</v>
      </c>
      <c r="F220" t="s">
        <v>1093</v>
      </c>
      <c r="G220" t="s">
        <v>21</v>
      </c>
      <c r="H220" s="5">
        <v>8760</v>
      </c>
      <c r="I220" s="1">
        <v>12635</v>
      </c>
      <c r="J220" s="1">
        <v>17544</v>
      </c>
      <c r="K220" s="1">
        <f t="shared" si="13"/>
        <v>730</v>
      </c>
      <c r="L220" s="1">
        <f t="shared" si="13"/>
        <v>1053</v>
      </c>
      <c r="M220" s="1">
        <f t="shared" si="13"/>
        <v>1462</v>
      </c>
      <c r="N220" t="str">
        <f t="shared" si="14"/>
        <v>HAUTS-DE-FRANCE|62 - Pas-de-Calais|CA du Pays de Saint-Omer</v>
      </c>
      <c r="O220" t="str">
        <f t="shared" si="15"/>
        <v>HDF</v>
      </c>
    </row>
    <row r="221" spans="1:15" x14ac:dyDescent="0.25">
      <c r="A221" t="s">
        <v>455</v>
      </c>
      <c r="B221" t="str">
        <f t="shared" si="12"/>
        <v>Pas-de-Calais</v>
      </c>
      <c r="C221" t="s">
        <v>523</v>
      </c>
      <c r="D221" t="s">
        <v>536</v>
      </c>
      <c r="E221" t="s">
        <v>537</v>
      </c>
      <c r="F221" t="s">
        <v>1093</v>
      </c>
      <c r="G221" t="s">
        <v>21</v>
      </c>
      <c r="H221" s="5">
        <v>8580</v>
      </c>
      <c r="I221" s="1">
        <v>12558</v>
      </c>
      <c r="J221" s="1">
        <v>17920</v>
      </c>
      <c r="K221" s="1">
        <f t="shared" si="13"/>
        <v>715</v>
      </c>
      <c r="L221" s="1">
        <f t="shared" si="13"/>
        <v>1047</v>
      </c>
      <c r="M221" s="1">
        <f t="shared" si="13"/>
        <v>1493</v>
      </c>
      <c r="N221" t="str">
        <f t="shared" si="14"/>
        <v>HAUTS-DE-FRANCE|62 - Pas-de-Calais|CA Grand Calais Terres et Mers</v>
      </c>
      <c r="O221" t="str">
        <f t="shared" si="15"/>
        <v>HDF</v>
      </c>
    </row>
    <row r="222" spans="1:15" x14ac:dyDescent="0.25">
      <c r="A222" t="s">
        <v>455</v>
      </c>
      <c r="B222" t="str">
        <f t="shared" si="12"/>
        <v>Pas-de-Calais</v>
      </c>
      <c r="C222" t="s">
        <v>523</v>
      </c>
      <c r="D222" t="s">
        <v>538</v>
      </c>
      <c r="E222" t="s">
        <v>539</v>
      </c>
      <c r="F222" t="s">
        <v>1093</v>
      </c>
      <c r="G222" t="s">
        <v>21</v>
      </c>
      <c r="H222" s="5">
        <v>9262</v>
      </c>
      <c r="I222" s="1">
        <v>13652</v>
      </c>
      <c r="J222" s="1">
        <v>19200</v>
      </c>
      <c r="K222" s="1">
        <f t="shared" si="13"/>
        <v>772</v>
      </c>
      <c r="L222" s="1">
        <f t="shared" si="13"/>
        <v>1138</v>
      </c>
      <c r="M222" s="1">
        <f t="shared" si="13"/>
        <v>1600</v>
      </c>
      <c r="N222" t="str">
        <f t="shared" si="14"/>
        <v>HAUTS-DE-FRANCE|62 - Pas-de-Calais|CU d'Arras</v>
      </c>
      <c r="O222" t="str">
        <f t="shared" si="15"/>
        <v>HDF</v>
      </c>
    </row>
    <row r="223" spans="1:15" x14ac:dyDescent="0.25">
      <c r="A223" t="s">
        <v>455</v>
      </c>
      <c r="B223" t="str">
        <f t="shared" si="12"/>
        <v>Somme</v>
      </c>
      <c r="C223" t="s">
        <v>541</v>
      </c>
      <c r="D223" t="s">
        <v>542</v>
      </c>
      <c r="E223" t="s">
        <v>543</v>
      </c>
      <c r="F223" t="s">
        <v>1093</v>
      </c>
      <c r="G223" t="s">
        <v>21</v>
      </c>
      <c r="H223" s="5">
        <v>9300</v>
      </c>
      <c r="I223" s="1">
        <v>13645</v>
      </c>
      <c r="J223" s="1">
        <v>19248</v>
      </c>
      <c r="K223" s="1">
        <f t="shared" si="13"/>
        <v>775</v>
      </c>
      <c r="L223" s="1">
        <f t="shared" si="13"/>
        <v>1137</v>
      </c>
      <c r="M223" s="1">
        <f t="shared" si="13"/>
        <v>1604</v>
      </c>
      <c r="N223" t="str">
        <f t="shared" si="14"/>
        <v>HAUTS-DE-FRANCE|80 - Somme|CA Amiens Métropole</v>
      </c>
      <c r="O223" t="str">
        <f t="shared" si="15"/>
        <v>HDF</v>
      </c>
    </row>
    <row r="224" spans="1:15" x14ac:dyDescent="0.25">
      <c r="A224" t="s">
        <v>455</v>
      </c>
      <c r="B224" t="str">
        <f t="shared" si="12"/>
        <v>Somme</v>
      </c>
      <c r="C224" t="s">
        <v>541</v>
      </c>
      <c r="D224" t="s">
        <v>544</v>
      </c>
      <c r="E224" t="s">
        <v>545</v>
      </c>
      <c r="F224" t="s">
        <v>1093</v>
      </c>
      <c r="G224" t="s">
        <v>21</v>
      </c>
      <c r="H224" s="5">
        <v>9024</v>
      </c>
      <c r="I224" s="1">
        <v>12480</v>
      </c>
      <c r="J224" s="1">
        <v>17640</v>
      </c>
      <c r="K224" s="1">
        <f t="shared" si="13"/>
        <v>752</v>
      </c>
      <c r="L224" s="1">
        <f t="shared" si="13"/>
        <v>1040</v>
      </c>
      <c r="M224" s="1">
        <f t="shared" si="13"/>
        <v>1470</v>
      </c>
      <c r="N224" t="str">
        <f t="shared" si="14"/>
        <v>HAUTS-DE-FRANCE|80 - Somme|CA de la Baie de Somme</v>
      </c>
      <c r="O224" t="str">
        <f t="shared" si="15"/>
        <v>HDF</v>
      </c>
    </row>
    <row r="225" spans="1:15" x14ac:dyDescent="0.25">
      <c r="A225" t="s">
        <v>546</v>
      </c>
      <c r="B225" t="str">
        <f t="shared" si="12"/>
        <v>Paris</v>
      </c>
      <c r="C225" t="s">
        <v>548</v>
      </c>
      <c r="D225" t="s">
        <v>547</v>
      </c>
      <c r="E225" t="s">
        <v>549</v>
      </c>
      <c r="F225" t="s">
        <v>1093</v>
      </c>
      <c r="G225" t="s">
        <v>21</v>
      </c>
      <c r="H225" s="5">
        <v>12083</v>
      </c>
      <c r="I225" s="1">
        <v>17796</v>
      </c>
      <c r="J225" s="1">
        <v>23556</v>
      </c>
      <c r="K225" s="1">
        <f t="shared" si="13"/>
        <v>1007</v>
      </c>
      <c r="L225" s="1">
        <f t="shared" si="13"/>
        <v>1483</v>
      </c>
      <c r="M225" s="1">
        <f t="shared" si="13"/>
        <v>1963</v>
      </c>
      <c r="N225" t="str">
        <f t="shared" si="14"/>
        <v>ÎLE-DE-FRANCE|75 - Paris|Paris</v>
      </c>
      <c r="O225" t="str">
        <f t="shared" si="15"/>
        <v>IDF</v>
      </c>
    </row>
    <row r="226" spans="1:15" x14ac:dyDescent="0.25">
      <c r="A226" t="s">
        <v>546</v>
      </c>
      <c r="B226" t="str">
        <f t="shared" si="12"/>
        <v>Seine-et-Marne</v>
      </c>
      <c r="C226" t="s">
        <v>551</v>
      </c>
      <c r="D226" t="s">
        <v>552</v>
      </c>
      <c r="E226" t="s">
        <v>553</v>
      </c>
      <c r="F226" t="s">
        <v>1093</v>
      </c>
      <c r="G226" t="s">
        <v>21</v>
      </c>
      <c r="H226" s="5">
        <v>12083</v>
      </c>
      <c r="I226" s="1">
        <v>17796</v>
      </c>
      <c r="J226" s="1">
        <v>23556</v>
      </c>
      <c r="K226" s="1">
        <f t="shared" si="13"/>
        <v>1007</v>
      </c>
      <c r="L226" s="1">
        <f t="shared" si="13"/>
        <v>1483</v>
      </c>
      <c r="M226" s="1">
        <f t="shared" si="13"/>
        <v>1963</v>
      </c>
      <c r="N226" t="str">
        <f t="shared" si="14"/>
        <v>ÎLE-DE-FRANCE|77 - Seine-et-Marne|CA Coulommiers Pays de Brie</v>
      </c>
      <c r="O226" t="str">
        <f t="shared" si="15"/>
        <v>IDF</v>
      </c>
    </row>
    <row r="227" spans="1:15" x14ac:dyDescent="0.25">
      <c r="A227" t="s">
        <v>546</v>
      </c>
      <c r="B227" t="str">
        <f t="shared" si="12"/>
        <v>Seine-et-Marne</v>
      </c>
      <c r="C227" t="s">
        <v>551</v>
      </c>
      <c r="D227" t="s">
        <v>554</v>
      </c>
      <c r="E227" t="s">
        <v>555</v>
      </c>
      <c r="F227" t="s">
        <v>1093</v>
      </c>
      <c r="G227" t="s">
        <v>21</v>
      </c>
      <c r="H227" s="5">
        <v>12083</v>
      </c>
      <c r="I227" s="1">
        <v>17796</v>
      </c>
      <c r="J227" s="1">
        <v>23556</v>
      </c>
      <c r="K227" s="1">
        <f t="shared" si="13"/>
        <v>1007</v>
      </c>
      <c r="L227" s="1">
        <f t="shared" si="13"/>
        <v>1483</v>
      </c>
      <c r="M227" s="1">
        <f t="shared" si="13"/>
        <v>1963</v>
      </c>
      <c r="N227" t="str">
        <f t="shared" si="14"/>
        <v>ÎLE-DE-FRANCE|77 - Seine-et-Marne|CA du Pays de Fontainebleau</v>
      </c>
      <c r="O227" t="str">
        <f t="shared" si="15"/>
        <v>IDF</v>
      </c>
    </row>
    <row r="228" spans="1:15" x14ac:dyDescent="0.25">
      <c r="A228" t="s">
        <v>546</v>
      </c>
      <c r="B228" t="str">
        <f t="shared" si="12"/>
        <v>Seine-et-Marne</v>
      </c>
      <c r="C228" t="s">
        <v>551</v>
      </c>
      <c r="D228" t="s">
        <v>556</v>
      </c>
      <c r="E228" t="s">
        <v>557</v>
      </c>
      <c r="F228" t="s">
        <v>1093</v>
      </c>
      <c r="G228" t="s">
        <v>21</v>
      </c>
      <c r="H228" s="5">
        <v>12083</v>
      </c>
      <c r="I228" s="1">
        <v>17796</v>
      </c>
      <c r="J228" s="1">
        <v>23556</v>
      </c>
      <c r="K228" s="1">
        <f t="shared" si="13"/>
        <v>1007</v>
      </c>
      <c r="L228" s="1">
        <f t="shared" si="13"/>
        <v>1483</v>
      </c>
      <c r="M228" s="1">
        <f t="shared" si="13"/>
        <v>1963</v>
      </c>
      <c r="N228" t="str">
        <f t="shared" si="14"/>
        <v>ÎLE-DE-FRANCE|77 - Seine-et-Marne|CA du Pays de Meaux</v>
      </c>
      <c r="O228" t="str">
        <f t="shared" si="15"/>
        <v>IDF</v>
      </c>
    </row>
    <row r="229" spans="1:15" x14ac:dyDescent="0.25">
      <c r="A229" t="s">
        <v>546</v>
      </c>
      <c r="B229" t="str">
        <f t="shared" si="12"/>
        <v>Seine-et-Marne</v>
      </c>
      <c r="C229" t="s">
        <v>551</v>
      </c>
      <c r="D229" t="s">
        <v>558</v>
      </c>
      <c r="E229" t="s">
        <v>559</v>
      </c>
      <c r="F229" t="s">
        <v>1093</v>
      </c>
      <c r="G229" t="s">
        <v>21</v>
      </c>
      <c r="H229" s="5">
        <v>12083</v>
      </c>
      <c r="I229" s="1">
        <v>17796</v>
      </c>
      <c r="J229" s="1">
        <v>23556</v>
      </c>
      <c r="K229" s="1">
        <f t="shared" si="13"/>
        <v>1007</v>
      </c>
      <c r="L229" s="1">
        <f t="shared" si="13"/>
        <v>1483</v>
      </c>
      <c r="M229" s="1">
        <f t="shared" si="13"/>
        <v>1963</v>
      </c>
      <c r="N229" t="str">
        <f t="shared" si="14"/>
        <v>ÎLE-DE-FRANCE|77 - Seine-et-Marne|CA Grand Paris Sud Seine Essonne Sénart</v>
      </c>
      <c r="O229" t="str">
        <f t="shared" si="15"/>
        <v>IDF</v>
      </c>
    </row>
    <row r="230" spans="1:15" x14ac:dyDescent="0.25">
      <c r="A230" t="s">
        <v>546</v>
      </c>
      <c r="B230" t="str">
        <f t="shared" si="12"/>
        <v>Seine-et-Marne</v>
      </c>
      <c r="C230" t="s">
        <v>551</v>
      </c>
      <c r="D230" t="s">
        <v>560</v>
      </c>
      <c r="E230" t="s">
        <v>561</v>
      </c>
      <c r="F230" t="s">
        <v>1093</v>
      </c>
      <c r="G230" t="s">
        <v>21</v>
      </c>
      <c r="H230" s="5">
        <v>12083</v>
      </c>
      <c r="I230" s="1">
        <v>17796</v>
      </c>
      <c r="J230" s="1">
        <v>23556</v>
      </c>
      <c r="K230" s="1">
        <f t="shared" si="13"/>
        <v>1007</v>
      </c>
      <c r="L230" s="1">
        <f t="shared" si="13"/>
        <v>1483</v>
      </c>
      <c r="M230" s="1">
        <f t="shared" si="13"/>
        <v>1963</v>
      </c>
      <c r="N230" t="str">
        <f t="shared" si="14"/>
        <v>ÎLE-DE-FRANCE|77 - Seine-et-Marne|CA Marne et Gondoire</v>
      </c>
      <c r="O230" t="str">
        <f t="shared" si="15"/>
        <v>IDF</v>
      </c>
    </row>
    <row r="231" spans="1:15" x14ac:dyDescent="0.25">
      <c r="A231" t="s">
        <v>546</v>
      </c>
      <c r="B231" t="str">
        <f t="shared" si="12"/>
        <v>Seine-et-Marne</v>
      </c>
      <c r="C231" t="s">
        <v>551</v>
      </c>
      <c r="D231" t="s">
        <v>562</v>
      </c>
      <c r="E231" t="s">
        <v>563</v>
      </c>
      <c r="F231" t="s">
        <v>1093</v>
      </c>
      <c r="G231" t="s">
        <v>21</v>
      </c>
      <c r="H231" s="5">
        <v>12083</v>
      </c>
      <c r="I231" s="1">
        <v>17796</v>
      </c>
      <c r="J231" s="1">
        <v>23556</v>
      </c>
      <c r="K231" s="1">
        <f t="shared" si="13"/>
        <v>1007</v>
      </c>
      <c r="L231" s="1">
        <f t="shared" si="13"/>
        <v>1483</v>
      </c>
      <c r="M231" s="1">
        <f t="shared" si="13"/>
        <v>1963</v>
      </c>
      <c r="N231" t="str">
        <f t="shared" si="14"/>
        <v>ÎLE-DE-FRANCE|77 - Seine-et-Marne|CA Melun Val de Seine</v>
      </c>
      <c r="O231" t="str">
        <f t="shared" si="15"/>
        <v>IDF</v>
      </c>
    </row>
    <row r="232" spans="1:15" x14ac:dyDescent="0.25">
      <c r="A232" t="s">
        <v>546</v>
      </c>
      <c r="B232" t="str">
        <f t="shared" si="12"/>
        <v>Seine-et-Marne</v>
      </c>
      <c r="C232" t="s">
        <v>551</v>
      </c>
      <c r="D232" t="s">
        <v>564</v>
      </c>
      <c r="E232" t="s">
        <v>565</v>
      </c>
      <c r="F232" t="s">
        <v>1093</v>
      </c>
      <c r="G232" t="s">
        <v>21</v>
      </c>
      <c r="H232" s="5">
        <v>12083</v>
      </c>
      <c r="I232" s="1">
        <v>17796</v>
      </c>
      <c r="J232" s="1">
        <v>23556</v>
      </c>
      <c r="K232" s="1">
        <f t="shared" si="13"/>
        <v>1007</v>
      </c>
      <c r="L232" s="1">
        <f t="shared" si="13"/>
        <v>1483</v>
      </c>
      <c r="M232" s="1">
        <f t="shared" si="13"/>
        <v>1963</v>
      </c>
      <c r="N232" t="str">
        <f t="shared" si="14"/>
        <v>ÎLE-DE-FRANCE|77 - Seine-et-Marne|CA Paris - Vallée de la Marne</v>
      </c>
      <c r="O232" t="str">
        <f t="shared" si="15"/>
        <v>IDF</v>
      </c>
    </row>
    <row r="233" spans="1:15" x14ac:dyDescent="0.25">
      <c r="A233" t="s">
        <v>546</v>
      </c>
      <c r="B233" t="str">
        <f t="shared" si="12"/>
        <v>Seine-et-Marne</v>
      </c>
      <c r="C233" t="s">
        <v>551</v>
      </c>
      <c r="D233" t="s">
        <v>566</v>
      </c>
      <c r="E233" t="s">
        <v>567</v>
      </c>
      <c r="F233" t="s">
        <v>1093</v>
      </c>
      <c r="G233" t="s">
        <v>21</v>
      </c>
      <c r="H233" s="5">
        <v>12083</v>
      </c>
      <c r="I233" s="1">
        <v>17796</v>
      </c>
      <c r="J233" s="1">
        <v>23556</v>
      </c>
      <c r="K233" s="1">
        <f t="shared" si="13"/>
        <v>1007</v>
      </c>
      <c r="L233" s="1">
        <f t="shared" si="13"/>
        <v>1483</v>
      </c>
      <c r="M233" s="1">
        <f t="shared" si="13"/>
        <v>1963</v>
      </c>
      <c r="N233" t="str">
        <f t="shared" si="14"/>
        <v>ÎLE-DE-FRANCE|77 - Seine-et-Marne|CA Roissy Pays de France</v>
      </c>
      <c r="O233" t="str">
        <f t="shared" si="15"/>
        <v>IDF</v>
      </c>
    </row>
    <row r="234" spans="1:15" x14ac:dyDescent="0.25">
      <c r="A234" t="s">
        <v>546</v>
      </c>
      <c r="B234" t="str">
        <f t="shared" si="12"/>
        <v>Seine-et-Marne</v>
      </c>
      <c r="C234" t="s">
        <v>551</v>
      </c>
      <c r="D234" t="s">
        <v>568</v>
      </c>
      <c r="E234" t="s">
        <v>569</v>
      </c>
      <c r="F234" t="s">
        <v>1093</v>
      </c>
      <c r="G234" t="s">
        <v>21</v>
      </c>
      <c r="H234" s="5">
        <v>12083</v>
      </c>
      <c r="I234" s="1">
        <v>17796</v>
      </c>
      <c r="J234" s="1">
        <v>23556</v>
      </c>
      <c r="K234" s="1">
        <f t="shared" si="13"/>
        <v>1007</v>
      </c>
      <c r="L234" s="1">
        <f t="shared" si="13"/>
        <v>1483</v>
      </c>
      <c r="M234" s="1">
        <f t="shared" si="13"/>
        <v>1963</v>
      </c>
      <c r="N234" t="str">
        <f t="shared" si="14"/>
        <v>ÎLE-DE-FRANCE|77 - Seine-et-Marne|CA Val d'Europe Agglomération</v>
      </c>
      <c r="O234" t="str">
        <f t="shared" si="15"/>
        <v>IDF</v>
      </c>
    </row>
    <row r="235" spans="1:15" x14ac:dyDescent="0.25">
      <c r="A235" t="s">
        <v>546</v>
      </c>
      <c r="B235" t="str">
        <f t="shared" si="12"/>
        <v>Seine-et-Marne</v>
      </c>
      <c r="C235" t="s">
        <v>551</v>
      </c>
      <c r="D235" t="s">
        <v>570</v>
      </c>
      <c r="E235" t="s">
        <v>571</v>
      </c>
      <c r="F235" t="s">
        <v>1093</v>
      </c>
      <c r="G235" t="s">
        <v>21</v>
      </c>
      <c r="H235" s="5">
        <v>12083</v>
      </c>
      <c r="I235" s="1">
        <v>17796</v>
      </c>
      <c r="J235" s="1">
        <v>23556</v>
      </c>
      <c r="K235" s="1">
        <f t="shared" si="13"/>
        <v>1007</v>
      </c>
      <c r="L235" s="1">
        <f t="shared" si="13"/>
        <v>1483</v>
      </c>
      <c r="M235" s="1">
        <f t="shared" si="13"/>
        <v>1963</v>
      </c>
      <c r="N235" t="str">
        <f t="shared" si="14"/>
        <v>ÎLE-DE-FRANCE|77 - Seine-et-Marne|CC du Provinois</v>
      </c>
      <c r="O235" t="str">
        <f t="shared" si="15"/>
        <v>IDF</v>
      </c>
    </row>
    <row r="236" spans="1:15" x14ac:dyDescent="0.25">
      <c r="A236" t="s">
        <v>546</v>
      </c>
      <c r="B236" t="str">
        <f t="shared" si="12"/>
        <v>Seine-et-Marne</v>
      </c>
      <c r="C236" t="s">
        <v>551</v>
      </c>
      <c r="D236" t="s">
        <v>572</v>
      </c>
      <c r="E236" t="s">
        <v>573</v>
      </c>
      <c r="F236" t="s">
        <v>1093</v>
      </c>
      <c r="G236" t="s">
        <v>21</v>
      </c>
      <c r="H236" s="5">
        <v>12083</v>
      </c>
      <c r="I236" s="1">
        <v>17796</v>
      </c>
      <c r="J236" s="1">
        <v>23556</v>
      </c>
      <c r="K236" s="1">
        <f t="shared" si="13"/>
        <v>1007</v>
      </c>
      <c r="L236" s="1">
        <f t="shared" si="13"/>
        <v>1483</v>
      </c>
      <c r="M236" s="1">
        <f t="shared" si="13"/>
        <v>1963</v>
      </c>
      <c r="N236" t="str">
        <f t="shared" si="14"/>
        <v>ÎLE-DE-FRANCE|77 - Seine-et-Marne|CC Moret Seine et Loing</v>
      </c>
      <c r="O236" t="str">
        <f t="shared" si="15"/>
        <v>IDF</v>
      </c>
    </row>
    <row r="237" spans="1:15" x14ac:dyDescent="0.25">
      <c r="A237" t="s">
        <v>546</v>
      </c>
      <c r="B237" t="str">
        <f t="shared" si="12"/>
        <v>Seine-et-Marne</v>
      </c>
      <c r="C237" t="s">
        <v>551</v>
      </c>
      <c r="D237" t="s">
        <v>574</v>
      </c>
      <c r="E237" t="s">
        <v>575</v>
      </c>
      <c r="F237" t="s">
        <v>1093</v>
      </c>
      <c r="G237" t="s">
        <v>21</v>
      </c>
      <c r="H237" s="5">
        <v>12083</v>
      </c>
      <c r="I237" s="1">
        <v>17796</v>
      </c>
      <c r="J237" s="1">
        <v>23556</v>
      </c>
      <c r="K237" s="1">
        <f t="shared" si="13"/>
        <v>1007</v>
      </c>
      <c r="L237" s="1">
        <f t="shared" si="13"/>
        <v>1483</v>
      </c>
      <c r="M237" s="1">
        <f t="shared" si="13"/>
        <v>1963</v>
      </c>
      <c r="N237" t="str">
        <f t="shared" si="14"/>
        <v>ÎLE-DE-FRANCE|77 - Seine-et-Marne|CC Pays de Montereau</v>
      </c>
      <c r="O237" t="str">
        <f t="shared" si="15"/>
        <v>IDF</v>
      </c>
    </row>
    <row r="238" spans="1:15" x14ac:dyDescent="0.25">
      <c r="A238" t="s">
        <v>546</v>
      </c>
      <c r="B238" t="str">
        <f t="shared" si="12"/>
        <v>Seine-et-Marne</v>
      </c>
      <c r="C238" t="s">
        <v>551</v>
      </c>
      <c r="D238" t="s">
        <v>576</v>
      </c>
      <c r="E238" t="s">
        <v>577</v>
      </c>
      <c r="F238" t="s">
        <v>1093</v>
      </c>
      <c r="G238" t="s">
        <v>21</v>
      </c>
      <c r="H238" s="5">
        <v>12083</v>
      </c>
      <c r="I238" s="1">
        <v>17796</v>
      </c>
      <c r="J238" s="1">
        <v>23556</v>
      </c>
      <c r="K238" s="1">
        <f t="shared" si="13"/>
        <v>1007</v>
      </c>
      <c r="L238" s="1">
        <f t="shared" si="13"/>
        <v>1483</v>
      </c>
      <c r="M238" s="1">
        <f t="shared" si="13"/>
        <v>1963</v>
      </c>
      <c r="N238" t="str">
        <f t="shared" si="14"/>
        <v>ÎLE-DE-FRANCE|77 - Seine-et-Marne|CC Pays de Nemours</v>
      </c>
      <c r="O238" t="str">
        <f t="shared" si="15"/>
        <v>IDF</v>
      </c>
    </row>
    <row r="239" spans="1:15" x14ac:dyDescent="0.25">
      <c r="A239" t="s">
        <v>546</v>
      </c>
      <c r="B239" t="str">
        <f t="shared" si="12"/>
        <v>Yvelines</v>
      </c>
      <c r="C239" t="s">
        <v>579</v>
      </c>
      <c r="D239" t="s">
        <v>580</v>
      </c>
      <c r="E239" t="s">
        <v>581</v>
      </c>
      <c r="F239" t="s">
        <v>1093</v>
      </c>
      <c r="G239" t="s">
        <v>21</v>
      </c>
      <c r="H239" s="5">
        <v>12083</v>
      </c>
      <c r="I239" s="1">
        <v>17796</v>
      </c>
      <c r="J239" s="1">
        <v>23556</v>
      </c>
      <c r="K239" s="1">
        <f t="shared" si="13"/>
        <v>1007</v>
      </c>
      <c r="L239" s="1">
        <f t="shared" si="13"/>
        <v>1483</v>
      </c>
      <c r="M239" s="1">
        <f t="shared" si="13"/>
        <v>1963</v>
      </c>
      <c r="N239" t="str">
        <f t="shared" si="14"/>
        <v>ÎLE-DE-FRANCE|78 - Yvelines|CA de Cergy-Pontoise</v>
      </c>
      <c r="O239" t="str">
        <f t="shared" si="15"/>
        <v>IDF</v>
      </c>
    </row>
    <row r="240" spans="1:15" x14ac:dyDescent="0.25">
      <c r="A240" t="s">
        <v>546</v>
      </c>
      <c r="B240" t="str">
        <f t="shared" si="12"/>
        <v>Yvelines</v>
      </c>
      <c r="C240" t="s">
        <v>579</v>
      </c>
      <c r="D240" t="s">
        <v>582</v>
      </c>
      <c r="E240" t="s">
        <v>583</v>
      </c>
      <c r="F240" t="s">
        <v>1093</v>
      </c>
      <c r="G240" t="s">
        <v>21</v>
      </c>
      <c r="H240" s="5">
        <v>12083</v>
      </c>
      <c r="I240" s="1">
        <v>17796</v>
      </c>
      <c r="J240" s="1">
        <v>23556</v>
      </c>
      <c r="K240" s="1">
        <f t="shared" si="13"/>
        <v>1007</v>
      </c>
      <c r="L240" s="1">
        <f t="shared" si="13"/>
        <v>1483</v>
      </c>
      <c r="M240" s="1">
        <f t="shared" si="13"/>
        <v>1963</v>
      </c>
      <c r="N240" t="str">
        <f t="shared" si="14"/>
        <v>ÎLE-DE-FRANCE|78 - Yvelines|CA de Saint Quentin en Yvelines</v>
      </c>
      <c r="O240" t="str">
        <f t="shared" si="15"/>
        <v>IDF</v>
      </c>
    </row>
    <row r="241" spans="1:15" x14ac:dyDescent="0.25">
      <c r="A241" t="s">
        <v>546</v>
      </c>
      <c r="B241" t="str">
        <f t="shared" si="12"/>
        <v>Yvelines</v>
      </c>
      <c r="C241" t="s">
        <v>579</v>
      </c>
      <c r="D241" t="s">
        <v>584</v>
      </c>
      <c r="E241" t="s">
        <v>585</v>
      </c>
      <c r="F241" t="s">
        <v>1093</v>
      </c>
      <c r="G241" t="s">
        <v>21</v>
      </c>
      <c r="H241" s="5">
        <v>12083</v>
      </c>
      <c r="I241" s="1">
        <v>17796</v>
      </c>
      <c r="J241" s="1">
        <v>23556</v>
      </c>
      <c r="K241" s="1">
        <f t="shared" si="13"/>
        <v>1007</v>
      </c>
      <c r="L241" s="1">
        <f t="shared" si="13"/>
        <v>1483</v>
      </c>
      <c r="M241" s="1">
        <f t="shared" si="13"/>
        <v>1963</v>
      </c>
      <c r="N241" t="str">
        <f t="shared" si="14"/>
        <v>ÎLE-DE-FRANCE|78 - Yvelines|CA Rambouillet Territoires</v>
      </c>
      <c r="O241" t="str">
        <f t="shared" si="15"/>
        <v>IDF</v>
      </c>
    </row>
    <row r="242" spans="1:15" x14ac:dyDescent="0.25">
      <c r="A242" t="s">
        <v>546</v>
      </c>
      <c r="B242" t="str">
        <f t="shared" si="12"/>
        <v>Yvelines</v>
      </c>
      <c r="C242" t="s">
        <v>579</v>
      </c>
      <c r="D242" t="s">
        <v>586</v>
      </c>
      <c r="E242" t="s">
        <v>587</v>
      </c>
      <c r="F242" t="s">
        <v>1093</v>
      </c>
      <c r="G242" t="s">
        <v>21</v>
      </c>
      <c r="H242" s="5">
        <v>12083</v>
      </c>
      <c r="I242" s="1">
        <v>17796</v>
      </c>
      <c r="J242" s="1">
        <v>23556</v>
      </c>
      <c r="K242" s="1">
        <f t="shared" si="13"/>
        <v>1007</v>
      </c>
      <c r="L242" s="1">
        <f t="shared" si="13"/>
        <v>1483</v>
      </c>
      <c r="M242" s="1">
        <f t="shared" si="13"/>
        <v>1963</v>
      </c>
      <c r="N242" t="str">
        <f t="shared" si="14"/>
        <v>ÎLE-DE-FRANCE|78 - Yvelines|CA Saint Germain Boucles de Seine</v>
      </c>
      <c r="O242" t="str">
        <f t="shared" si="15"/>
        <v>IDF</v>
      </c>
    </row>
    <row r="243" spans="1:15" x14ac:dyDescent="0.25">
      <c r="A243" t="s">
        <v>546</v>
      </c>
      <c r="B243" t="str">
        <f t="shared" si="12"/>
        <v>Yvelines</v>
      </c>
      <c r="C243" t="s">
        <v>579</v>
      </c>
      <c r="D243" t="s">
        <v>588</v>
      </c>
      <c r="E243" t="s">
        <v>589</v>
      </c>
      <c r="F243" t="s">
        <v>1093</v>
      </c>
      <c r="G243" t="s">
        <v>21</v>
      </c>
      <c r="H243" s="5">
        <v>12083</v>
      </c>
      <c r="I243" s="1">
        <v>17796</v>
      </c>
      <c r="J243" s="1">
        <v>23556</v>
      </c>
      <c r="K243" s="1">
        <f t="shared" si="13"/>
        <v>1007</v>
      </c>
      <c r="L243" s="1">
        <f t="shared" si="13"/>
        <v>1483</v>
      </c>
      <c r="M243" s="1">
        <f t="shared" si="13"/>
        <v>1963</v>
      </c>
      <c r="N243" t="str">
        <f t="shared" si="14"/>
        <v>ÎLE-DE-FRANCE|78 - Yvelines|CA Versailles Grand Parc (CAVGP)</v>
      </c>
      <c r="O243" t="str">
        <f t="shared" si="15"/>
        <v>IDF</v>
      </c>
    </row>
    <row r="244" spans="1:15" x14ac:dyDescent="0.25">
      <c r="A244" t="s">
        <v>546</v>
      </c>
      <c r="B244" t="str">
        <f t="shared" si="12"/>
        <v>Yvelines</v>
      </c>
      <c r="C244" t="s">
        <v>579</v>
      </c>
      <c r="D244" t="s">
        <v>590</v>
      </c>
      <c r="E244" t="s">
        <v>591</v>
      </c>
      <c r="F244" t="s">
        <v>1093</v>
      </c>
      <c r="G244" t="s">
        <v>21</v>
      </c>
      <c r="H244" s="5">
        <v>12083</v>
      </c>
      <c r="I244" s="1">
        <v>17796</v>
      </c>
      <c r="J244" s="1">
        <v>23556</v>
      </c>
      <c r="K244" s="1">
        <f t="shared" si="13"/>
        <v>1007</v>
      </c>
      <c r="L244" s="1">
        <f t="shared" si="13"/>
        <v>1483</v>
      </c>
      <c r="M244" s="1">
        <f t="shared" si="13"/>
        <v>1963</v>
      </c>
      <c r="N244" t="str">
        <f t="shared" si="14"/>
        <v>ÎLE-DE-FRANCE|78 - Yvelines|CU Grand Paris Seine et Oise</v>
      </c>
      <c r="O244" t="str">
        <f t="shared" si="15"/>
        <v>IDF</v>
      </c>
    </row>
    <row r="245" spans="1:15" x14ac:dyDescent="0.25">
      <c r="A245" t="s">
        <v>546</v>
      </c>
      <c r="B245" t="str">
        <f t="shared" si="12"/>
        <v>Essonne</v>
      </c>
      <c r="C245" t="s">
        <v>593</v>
      </c>
      <c r="D245" t="s">
        <v>594</v>
      </c>
      <c r="E245" t="s">
        <v>595</v>
      </c>
      <c r="F245" t="s">
        <v>1093</v>
      </c>
      <c r="G245" t="s">
        <v>21</v>
      </c>
      <c r="H245" s="5">
        <v>12083</v>
      </c>
      <c r="I245" s="1">
        <v>17796</v>
      </c>
      <c r="J245" s="1">
        <v>23556</v>
      </c>
      <c r="K245" s="1">
        <f t="shared" si="13"/>
        <v>1007</v>
      </c>
      <c r="L245" s="1">
        <f t="shared" si="13"/>
        <v>1483</v>
      </c>
      <c r="M245" s="1">
        <f t="shared" si="13"/>
        <v>1963</v>
      </c>
      <c r="N245" t="str">
        <f t="shared" si="14"/>
        <v>ÎLE-DE-FRANCE|91 - Essonne|CA Coeur d'Essonne Agglomération</v>
      </c>
      <c r="O245" t="str">
        <f t="shared" si="15"/>
        <v>IDF</v>
      </c>
    </row>
    <row r="246" spans="1:15" x14ac:dyDescent="0.25">
      <c r="A246" t="s">
        <v>546</v>
      </c>
      <c r="B246" t="str">
        <f t="shared" si="12"/>
        <v>Essonne</v>
      </c>
      <c r="C246" t="s">
        <v>593</v>
      </c>
      <c r="D246" t="s">
        <v>596</v>
      </c>
      <c r="E246" t="s">
        <v>597</v>
      </c>
      <c r="F246" t="s">
        <v>1093</v>
      </c>
      <c r="G246" t="s">
        <v>21</v>
      </c>
      <c r="H246" s="5">
        <v>12083</v>
      </c>
      <c r="I246" s="1">
        <v>17796</v>
      </c>
      <c r="J246" s="1">
        <v>23556</v>
      </c>
      <c r="K246" s="1">
        <f t="shared" si="13"/>
        <v>1007</v>
      </c>
      <c r="L246" s="1">
        <f t="shared" si="13"/>
        <v>1483</v>
      </c>
      <c r="M246" s="1">
        <f t="shared" si="13"/>
        <v>1963</v>
      </c>
      <c r="N246" t="str">
        <f t="shared" si="14"/>
        <v>ÎLE-DE-FRANCE|91 - Essonne|CA Communauté Paris-Saclay</v>
      </c>
      <c r="O246" t="str">
        <f t="shared" si="15"/>
        <v>IDF</v>
      </c>
    </row>
    <row r="247" spans="1:15" x14ac:dyDescent="0.25">
      <c r="A247" t="s">
        <v>546</v>
      </c>
      <c r="B247" t="str">
        <f t="shared" si="12"/>
        <v>Essonne</v>
      </c>
      <c r="C247" t="s">
        <v>593</v>
      </c>
      <c r="D247" t="s">
        <v>598</v>
      </c>
      <c r="E247" t="s">
        <v>599</v>
      </c>
      <c r="F247" t="s">
        <v>1093</v>
      </c>
      <c r="G247" t="s">
        <v>21</v>
      </c>
      <c r="H247" s="5">
        <v>12083</v>
      </c>
      <c r="I247" s="1">
        <v>17796</v>
      </c>
      <c r="J247" s="1">
        <v>23556</v>
      </c>
      <c r="K247" s="1">
        <f t="shared" si="13"/>
        <v>1007</v>
      </c>
      <c r="L247" s="1">
        <f t="shared" si="13"/>
        <v>1483</v>
      </c>
      <c r="M247" s="1">
        <f t="shared" si="13"/>
        <v>1963</v>
      </c>
      <c r="N247" t="str">
        <f t="shared" si="14"/>
        <v>ÎLE-DE-FRANCE|91 - Essonne|CA Étampois Sud Essonne</v>
      </c>
      <c r="O247" t="str">
        <f t="shared" si="15"/>
        <v>IDF</v>
      </c>
    </row>
    <row r="248" spans="1:15" x14ac:dyDescent="0.25">
      <c r="A248" t="s">
        <v>546</v>
      </c>
      <c r="B248" t="str">
        <f t="shared" si="12"/>
        <v>Essonne</v>
      </c>
      <c r="C248" t="s">
        <v>593</v>
      </c>
      <c r="D248" t="s">
        <v>558</v>
      </c>
      <c r="E248" t="s">
        <v>559</v>
      </c>
      <c r="F248" t="s">
        <v>1093</v>
      </c>
      <c r="G248" t="s">
        <v>21</v>
      </c>
      <c r="H248" s="5">
        <v>12083</v>
      </c>
      <c r="I248" s="1">
        <v>17796</v>
      </c>
      <c r="J248" s="1">
        <v>23556</v>
      </c>
      <c r="K248" s="1">
        <f t="shared" si="13"/>
        <v>1007</v>
      </c>
      <c r="L248" s="1">
        <f t="shared" si="13"/>
        <v>1483</v>
      </c>
      <c r="M248" s="1">
        <f t="shared" si="13"/>
        <v>1963</v>
      </c>
      <c r="N248" t="str">
        <f t="shared" si="14"/>
        <v>ÎLE-DE-FRANCE|91 - Essonne|CA Grand Paris Sud Seine Essonne Sénart</v>
      </c>
      <c r="O248" t="str">
        <f t="shared" si="15"/>
        <v>IDF</v>
      </c>
    </row>
    <row r="249" spans="1:15" x14ac:dyDescent="0.25">
      <c r="A249" t="s">
        <v>546</v>
      </c>
      <c r="B249" t="str">
        <f t="shared" si="12"/>
        <v>Essonne</v>
      </c>
      <c r="C249" t="s">
        <v>593</v>
      </c>
      <c r="D249" t="s">
        <v>600</v>
      </c>
      <c r="E249" t="s">
        <v>601</v>
      </c>
      <c r="F249" t="s">
        <v>1093</v>
      </c>
      <c r="G249" t="s">
        <v>21</v>
      </c>
      <c r="H249" s="5">
        <v>12083</v>
      </c>
      <c r="I249" s="1">
        <v>17796</v>
      </c>
      <c r="J249" s="1">
        <v>23556</v>
      </c>
      <c r="K249" s="1">
        <f t="shared" si="13"/>
        <v>1007</v>
      </c>
      <c r="L249" s="1">
        <f t="shared" si="13"/>
        <v>1483</v>
      </c>
      <c r="M249" s="1">
        <f t="shared" si="13"/>
        <v>1963</v>
      </c>
      <c r="N249" t="str">
        <f t="shared" si="14"/>
        <v>ÎLE-DE-FRANCE|91 - Essonne|CA Val d'Yerres Val de Seine</v>
      </c>
      <c r="O249" t="str">
        <f t="shared" si="15"/>
        <v>IDF</v>
      </c>
    </row>
    <row r="250" spans="1:15" x14ac:dyDescent="0.25">
      <c r="A250" t="s">
        <v>546</v>
      </c>
      <c r="B250" t="str">
        <f t="shared" si="12"/>
        <v>Essonne</v>
      </c>
      <c r="C250" t="s">
        <v>593</v>
      </c>
      <c r="D250" t="s">
        <v>588</v>
      </c>
      <c r="E250" t="s">
        <v>589</v>
      </c>
      <c r="F250" t="s">
        <v>1093</v>
      </c>
      <c r="G250" t="s">
        <v>21</v>
      </c>
      <c r="H250" s="5">
        <v>12083</v>
      </c>
      <c r="I250" s="1">
        <v>17796</v>
      </c>
      <c r="J250" s="1">
        <v>23556</v>
      </c>
      <c r="K250" s="1">
        <f t="shared" si="13"/>
        <v>1007</v>
      </c>
      <c r="L250" s="1">
        <f t="shared" si="13"/>
        <v>1483</v>
      </c>
      <c r="M250" s="1">
        <f t="shared" si="13"/>
        <v>1963</v>
      </c>
      <c r="N250" t="str">
        <f t="shared" si="14"/>
        <v>ÎLE-DE-FRANCE|91 - Essonne|CA Versailles Grand Parc (CAVGP)</v>
      </c>
      <c r="O250" t="str">
        <f t="shared" si="15"/>
        <v>IDF</v>
      </c>
    </row>
    <row r="251" spans="1:15" x14ac:dyDescent="0.25">
      <c r="A251" t="s">
        <v>546</v>
      </c>
      <c r="B251" t="str">
        <f t="shared" si="12"/>
        <v>Essonne</v>
      </c>
      <c r="C251" t="s">
        <v>593</v>
      </c>
      <c r="D251" t="s">
        <v>602</v>
      </c>
      <c r="E251" t="s">
        <v>603</v>
      </c>
      <c r="F251" t="s">
        <v>1093</v>
      </c>
      <c r="G251" t="s">
        <v>21</v>
      </c>
      <c r="H251" s="5">
        <v>12083</v>
      </c>
      <c r="I251" s="1">
        <v>17796</v>
      </c>
      <c r="J251" s="1">
        <v>23556</v>
      </c>
      <c r="K251" s="1">
        <f t="shared" si="13"/>
        <v>1007</v>
      </c>
      <c r="L251" s="1">
        <f t="shared" si="13"/>
        <v>1483</v>
      </c>
      <c r="M251" s="1">
        <f t="shared" si="13"/>
        <v>1963</v>
      </c>
      <c r="N251" t="str">
        <f t="shared" si="14"/>
        <v>ÎLE-DE-FRANCE|91 - Essonne|Grand-Orly Seine Bièvre</v>
      </c>
      <c r="O251" t="str">
        <f t="shared" si="15"/>
        <v>IDF</v>
      </c>
    </row>
    <row r="252" spans="1:15" x14ac:dyDescent="0.25">
      <c r="A252" t="s">
        <v>546</v>
      </c>
      <c r="B252" t="str">
        <f t="shared" si="12"/>
        <v>Hauts-de-Seine</v>
      </c>
      <c r="C252" t="s">
        <v>605</v>
      </c>
      <c r="D252" t="s">
        <v>606</v>
      </c>
      <c r="E252" t="s">
        <v>607</v>
      </c>
      <c r="F252" t="s">
        <v>1093</v>
      </c>
      <c r="G252" t="s">
        <v>21</v>
      </c>
      <c r="H252" s="5">
        <v>12083</v>
      </c>
      <c r="I252" s="1">
        <v>17796</v>
      </c>
      <c r="J252" s="1">
        <v>23556</v>
      </c>
      <c r="K252" s="1">
        <f t="shared" si="13"/>
        <v>1007</v>
      </c>
      <c r="L252" s="1">
        <f t="shared" si="13"/>
        <v>1483</v>
      </c>
      <c r="M252" s="1">
        <f t="shared" si="13"/>
        <v>1963</v>
      </c>
      <c r="N252" t="str">
        <f t="shared" si="14"/>
        <v>ÎLE-DE-FRANCE|92 - Hauts-de-Seine|Boucle Nord de Seine</v>
      </c>
      <c r="O252" t="str">
        <f t="shared" si="15"/>
        <v>IDF</v>
      </c>
    </row>
    <row r="253" spans="1:15" x14ac:dyDescent="0.25">
      <c r="A253" t="s">
        <v>546</v>
      </c>
      <c r="B253" t="str">
        <f t="shared" si="12"/>
        <v>Hauts-de-Seine</v>
      </c>
      <c r="C253" t="s">
        <v>605</v>
      </c>
      <c r="D253" t="s">
        <v>608</v>
      </c>
      <c r="E253" t="s">
        <v>609</v>
      </c>
      <c r="F253" t="s">
        <v>1093</v>
      </c>
      <c r="G253" t="s">
        <v>21</v>
      </c>
      <c r="H253" s="5">
        <v>12083</v>
      </c>
      <c r="I253" s="1">
        <v>17796</v>
      </c>
      <c r="J253" s="1">
        <v>23556</v>
      </c>
      <c r="K253" s="1">
        <f t="shared" si="13"/>
        <v>1007</v>
      </c>
      <c r="L253" s="1">
        <f t="shared" si="13"/>
        <v>1483</v>
      </c>
      <c r="M253" s="1">
        <f t="shared" si="13"/>
        <v>1963</v>
      </c>
      <c r="N253" t="str">
        <f t="shared" si="14"/>
        <v>ÎLE-DE-FRANCE|92 - Hauts-de-Seine|Grand Paris Seine Ouest</v>
      </c>
      <c r="O253" t="str">
        <f t="shared" si="15"/>
        <v>IDF</v>
      </c>
    </row>
    <row r="254" spans="1:15" x14ac:dyDescent="0.25">
      <c r="A254" t="s">
        <v>546</v>
      </c>
      <c r="B254" t="str">
        <f t="shared" si="12"/>
        <v>Hauts-de-Seine</v>
      </c>
      <c r="C254" t="s">
        <v>605</v>
      </c>
      <c r="D254" t="s">
        <v>610</v>
      </c>
      <c r="E254" t="s">
        <v>611</v>
      </c>
      <c r="F254" t="s">
        <v>1093</v>
      </c>
      <c r="G254" t="s">
        <v>21</v>
      </c>
      <c r="H254" s="5">
        <v>12083</v>
      </c>
      <c r="I254" s="1">
        <v>17796</v>
      </c>
      <c r="J254" s="1">
        <v>23556</v>
      </c>
      <c r="K254" s="1">
        <f t="shared" si="13"/>
        <v>1007</v>
      </c>
      <c r="L254" s="1">
        <f t="shared" si="13"/>
        <v>1483</v>
      </c>
      <c r="M254" s="1">
        <f t="shared" si="13"/>
        <v>1963</v>
      </c>
      <c r="N254" t="str">
        <f t="shared" si="14"/>
        <v>ÎLE-DE-FRANCE|92 - Hauts-de-Seine|Paris Ouest La Défense</v>
      </c>
      <c r="O254" t="str">
        <f t="shared" si="15"/>
        <v>IDF</v>
      </c>
    </row>
    <row r="255" spans="1:15" x14ac:dyDescent="0.25">
      <c r="A255" t="s">
        <v>546</v>
      </c>
      <c r="B255" t="str">
        <f t="shared" si="12"/>
        <v>Hauts-de-Seine</v>
      </c>
      <c r="C255" t="s">
        <v>605</v>
      </c>
      <c r="D255" t="s">
        <v>612</v>
      </c>
      <c r="E255" t="s">
        <v>613</v>
      </c>
      <c r="F255" t="s">
        <v>1093</v>
      </c>
      <c r="G255" t="s">
        <v>21</v>
      </c>
      <c r="H255" s="5">
        <v>12083</v>
      </c>
      <c r="I255" s="1">
        <v>17796</v>
      </c>
      <c r="J255" s="1">
        <v>23556</v>
      </c>
      <c r="K255" s="1">
        <f t="shared" si="13"/>
        <v>1007</v>
      </c>
      <c r="L255" s="1">
        <f t="shared" si="13"/>
        <v>1483</v>
      </c>
      <c r="M255" s="1">
        <f t="shared" si="13"/>
        <v>1963</v>
      </c>
      <c r="N255" t="str">
        <f t="shared" si="14"/>
        <v>ÎLE-DE-FRANCE|92 - Hauts-de-Seine|Vallée Sud-Grand Paris</v>
      </c>
      <c r="O255" t="str">
        <f t="shared" si="15"/>
        <v>IDF</v>
      </c>
    </row>
    <row r="256" spans="1:15" x14ac:dyDescent="0.25">
      <c r="A256" t="s">
        <v>546</v>
      </c>
      <c r="B256" t="str">
        <f t="shared" si="12"/>
        <v>Seine-Saint-Denis</v>
      </c>
      <c r="C256" t="s">
        <v>615</v>
      </c>
      <c r="D256" t="s">
        <v>616</v>
      </c>
      <c r="E256" t="s">
        <v>617</v>
      </c>
      <c r="F256" t="s">
        <v>1093</v>
      </c>
      <c r="G256" t="s">
        <v>21</v>
      </c>
      <c r="H256" s="5">
        <v>12083</v>
      </c>
      <c r="I256" s="1">
        <v>17796</v>
      </c>
      <c r="J256" s="1">
        <v>23556</v>
      </c>
      <c r="K256" s="1">
        <f t="shared" si="13"/>
        <v>1007</v>
      </c>
      <c r="L256" s="1">
        <f t="shared" si="13"/>
        <v>1483</v>
      </c>
      <c r="M256" s="1">
        <f t="shared" si="13"/>
        <v>1963</v>
      </c>
      <c r="N256" t="str">
        <f t="shared" si="14"/>
        <v>ÎLE-DE-FRANCE|93 - Seine-Saint-Denis|Est Ensemble</v>
      </c>
      <c r="O256" t="str">
        <f t="shared" si="15"/>
        <v>IDF</v>
      </c>
    </row>
    <row r="257" spans="1:15" x14ac:dyDescent="0.25">
      <c r="A257" t="s">
        <v>546</v>
      </c>
      <c r="B257" t="str">
        <f t="shared" si="12"/>
        <v>Seine-Saint-Denis</v>
      </c>
      <c r="C257" t="s">
        <v>615</v>
      </c>
      <c r="D257" t="s">
        <v>618</v>
      </c>
      <c r="E257" t="s">
        <v>619</v>
      </c>
      <c r="F257" t="s">
        <v>1093</v>
      </c>
      <c r="G257" t="s">
        <v>21</v>
      </c>
      <c r="H257" s="5">
        <v>12083</v>
      </c>
      <c r="I257" s="1">
        <v>17796</v>
      </c>
      <c r="J257" s="1">
        <v>23556</v>
      </c>
      <c r="K257" s="1">
        <f t="shared" si="13"/>
        <v>1007</v>
      </c>
      <c r="L257" s="1">
        <f t="shared" si="13"/>
        <v>1483</v>
      </c>
      <c r="M257" s="1">
        <f t="shared" si="13"/>
        <v>1963</v>
      </c>
      <c r="N257" t="str">
        <f t="shared" si="14"/>
        <v>ÎLE-DE-FRANCE|93 - Seine-Saint-Denis|Grand Paris Grand Est</v>
      </c>
      <c r="O257" t="str">
        <f t="shared" si="15"/>
        <v>IDF</v>
      </c>
    </row>
    <row r="258" spans="1:15" x14ac:dyDescent="0.25">
      <c r="A258" t="s">
        <v>546</v>
      </c>
      <c r="B258" t="str">
        <f t="shared" ref="B258:B321" si="16">MID(C258,6,LEN(C258))</f>
        <v>Seine-Saint-Denis</v>
      </c>
      <c r="C258" t="s">
        <v>615</v>
      </c>
      <c r="D258" t="s">
        <v>620</v>
      </c>
      <c r="E258" t="s">
        <v>621</v>
      </c>
      <c r="F258" t="s">
        <v>1093</v>
      </c>
      <c r="G258" t="s">
        <v>21</v>
      </c>
      <c r="H258" s="5">
        <v>12083</v>
      </c>
      <c r="I258" s="1">
        <v>17796</v>
      </c>
      <c r="J258" s="1">
        <v>23556</v>
      </c>
      <c r="K258" s="1">
        <f t="shared" ref="K258:M321" si="17">ROUND(H258/12,0)</f>
        <v>1007</v>
      </c>
      <c r="L258" s="1">
        <f t="shared" si="17"/>
        <v>1483</v>
      </c>
      <c r="M258" s="1">
        <f t="shared" si="17"/>
        <v>1963</v>
      </c>
      <c r="N258" t="str">
        <f t="shared" ref="N258:N321" si="18">SUBSTITUTE(
   UPPER(SUBSTITUTE(TRIM(A258), CHAR(160), " ")) &amp; "|" &amp;
   SUBSTITUTE(TRIM(C258), CHAR(160), " ") &amp; "|" &amp;
   SUBSTITUTE(TRIM(D258), CHAR(160), " "),
   "–", "-"
)</f>
        <v>ÎLE-DE-FRANCE|93 - Seine-Saint-Denis|Paris Terres d'Envol</v>
      </c>
      <c r="O258" t="str">
        <f t="shared" ref="O258:O321" si="19">IF(A258="Hauts-de-France", "HDF",
IF(A258="Île-de-France", "IDF",
IF(OR(A258="Guadeloupe", A258="Martinique", A258="Guyane", A258="La Réunion", A258="Mayotte"), "OM", "Province")))</f>
        <v>IDF</v>
      </c>
    </row>
    <row r="259" spans="1:15" x14ac:dyDescent="0.25">
      <c r="A259" t="s">
        <v>546</v>
      </c>
      <c r="B259" t="str">
        <f t="shared" si="16"/>
        <v>Seine-Saint-Denis</v>
      </c>
      <c r="C259" t="s">
        <v>615</v>
      </c>
      <c r="D259" t="s">
        <v>622</v>
      </c>
      <c r="E259" t="s">
        <v>623</v>
      </c>
      <c r="F259" t="s">
        <v>1093</v>
      </c>
      <c r="G259" t="s">
        <v>21</v>
      </c>
      <c r="H259" s="5">
        <v>12083</v>
      </c>
      <c r="I259" s="1">
        <v>17796</v>
      </c>
      <c r="J259" s="1">
        <v>23556</v>
      </c>
      <c r="K259" s="1">
        <f t="shared" si="17"/>
        <v>1007</v>
      </c>
      <c r="L259" s="1">
        <f t="shared" si="17"/>
        <v>1483</v>
      </c>
      <c r="M259" s="1">
        <f t="shared" si="17"/>
        <v>1963</v>
      </c>
      <c r="N259" t="str">
        <f t="shared" si="18"/>
        <v>ÎLE-DE-FRANCE|93 - Seine-Saint-Denis|Plaine Commune</v>
      </c>
      <c r="O259" t="str">
        <f t="shared" si="19"/>
        <v>IDF</v>
      </c>
    </row>
    <row r="260" spans="1:15" x14ac:dyDescent="0.25">
      <c r="A260" t="s">
        <v>546</v>
      </c>
      <c r="B260" t="str">
        <f t="shared" si="16"/>
        <v>Val-de-Marne</v>
      </c>
      <c r="C260" t="s">
        <v>625</v>
      </c>
      <c r="D260" t="s">
        <v>602</v>
      </c>
      <c r="E260" t="s">
        <v>603</v>
      </c>
      <c r="F260" t="s">
        <v>1093</v>
      </c>
      <c r="G260" t="s">
        <v>21</v>
      </c>
      <c r="H260" s="5">
        <v>12083</v>
      </c>
      <c r="I260" s="1">
        <v>17796</v>
      </c>
      <c r="J260" s="1">
        <v>23556</v>
      </c>
      <c r="K260" s="1">
        <f t="shared" si="17"/>
        <v>1007</v>
      </c>
      <c r="L260" s="1">
        <f t="shared" si="17"/>
        <v>1483</v>
      </c>
      <c r="M260" s="1">
        <f t="shared" si="17"/>
        <v>1963</v>
      </c>
      <c r="N260" t="str">
        <f t="shared" si="18"/>
        <v>ÎLE-DE-FRANCE|94 - Val-de-Marne|Grand-Orly Seine Bièvre</v>
      </c>
      <c r="O260" t="str">
        <f t="shared" si="19"/>
        <v>IDF</v>
      </c>
    </row>
    <row r="261" spans="1:15" x14ac:dyDescent="0.25">
      <c r="A261" t="s">
        <v>546</v>
      </c>
      <c r="B261" t="str">
        <f t="shared" si="16"/>
        <v>Val-de-Marne</v>
      </c>
      <c r="C261" t="s">
        <v>625</v>
      </c>
      <c r="D261" t="s">
        <v>626</v>
      </c>
      <c r="E261" t="s">
        <v>627</v>
      </c>
      <c r="F261" t="s">
        <v>1093</v>
      </c>
      <c r="G261" t="s">
        <v>21</v>
      </c>
      <c r="H261" s="5">
        <v>12083</v>
      </c>
      <c r="I261" s="1">
        <v>17796</v>
      </c>
      <c r="J261" s="1">
        <v>23556</v>
      </c>
      <c r="K261" s="1">
        <f t="shared" si="17"/>
        <v>1007</v>
      </c>
      <c r="L261" s="1">
        <f t="shared" si="17"/>
        <v>1483</v>
      </c>
      <c r="M261" s="1">
        <f t="shared" si="17"/>
        <v>1963</v>
      </c>
      <c r="N261" t="str">
        <f t="shared" si="18"/>
        <v>ÎLE-DE-FRANCE|94 - Val-de-Marne|Grand Paris Sud Est Avenir</v>
      </c>
      <c r="O261" t="str">
        <f t="shared" si="19"/>
        <v>IDF</v>
      </c>
    </row>
    <row r="262" spans="1:15" x14ac:dyDescent="0.25">
      <c r="A262" t="s">
        <v>546</v>
      </c>
      <c r="B262" t="str">
        <f t="shared" si="16"/>
        <v>Val-de-Marne</v>
      </c>
      <c r="C262" t="s">
        <v>625</v>
      </c>
      <c r="D262" t="s">
        <v>628</v>
      </c>
      <c r="E262" t="s">
        <v>629</v>
      </c>
      <c r="F262" t="s">
        <v>1093</v>
      </c>
      <c r="G262" t="s">
        <v>21</v>
      </c>
      <c r="H262" s="5">
        <v>12083</v>
      </c>
      <c r="I262" s="1">
        <v>17796</v>
      </c>
      <c r="J262" s="1">
        <v>23556</v>
      </c>
      <c r="K262" s="1">
        <f t="shared" si="17"/>
        <v>1007</v>
      </c>
      <c r="L262" s="1">
        <f t="shared" si="17"/>
        <v>1483</v>
      </c>
      <c r="M262" s="1">
        <f t="shared" si="17"/>
        <v>1963</v>
      </c>
      <c r="N262" t="str">
        <f t="shared" si="18"/>
        <v>ÎLE-DE-FRANCE|94 - Val-de-Marne|Paris Est Marne et Bois</v>
      </c>
      <c r="O262" t="str">
        <f t="shared" si="19"/>
        <v>IDF</v>
      </c>
    </row>
    <row r="263" spans="1:15" x14ac:dyDescent="0.25">
      <c r="A263" t="s">
        <v>546</v>
      </c>
      <c r="B263" t="str">
        <f t="shared" si="16"/>
        <v>Val-d'Oise</v>
      </c>
      <c r="C263" t="s">
        <v>631</v>
      </c>
      <c r="D263" t="s">
        <v>606</v>
      </c>
      <c r="E263" t="s">
        <v>607</v>
      </c>
      <c r="F263" t="s">
        <v>1093</v>
      </c>
      <c r="G263" t="s">
        <v>21</v>
      </c>
      <c r="H263" s="5">
        <v>12083</v>
      </c>
      <c r="I263" s="1">
        <v>17796</v>
      </c>
      <c r="J263" s="1">
        <v>23556</v>
      </c>
      <c r="K263" s="1">
        <f t="shared" si="17"/>
        <v>1007</v>
      </c>
      <c r="L263" s="1">
        <f t="shared" si="17"/>
        <v>1483</v>
      </c>
      <c r="M263" s="1">
        <f t="shared" si="17"/>
        <v>1963</v>
      </c>
      <c r="N263" t="str">
        <f t="shared" si="18"/>
        <v>ÎLE-DE-FRANCE|95 - Val-d'Oise|Boucle Nord de Seine</v>
      </c>
      <c r="O263" t="str">
        <f t="shared" si="19"/>
        <v>IDF</v>
      </c>
    </row>
    <row r="264" spans="1:15" x14ac:dyDescent="0.25">
      <c r="A264" t="s">
        <v>546</v>
      </c>
      <c r="B264" t="str">
        <f t="shared" si="16"/>
        <v>Val-d'Oise</v>
      </c>
      <c r="C264" t="s">
        <v>631</v>
      </c>
      <c r="D264" t="s">
        <v>580</v>
      </c>
      <c r="E264" t="s">
        <v>581</v>
      </c>
      <c r="F264" t="s">
        <v>1093</v>
      </c>
      <c r="G264" t="s">
        <v>21</v>
      </c>
      <c r="H264" s="5">
        <v>12083</v>
      </c>
      <c r="I264" s="1">
        <v>17796</v>
      </c>
      <c r="J264" s="1">
        <v>23556</v>
      </c>
      <c r="K264" s="1">
        <f t="shared" si="17"/>
        <v>1007</v>
      </c>
      <c r="L264" s="1">
        <f t="shared" si="17"/>
        <v>1483</v>
      </c>
      <c r="M264" s="1">
        <f t="shared" si="17"/>
        <v>1963</v>
      </c>
      <c r="N264" t="str">
        <f t="shared" si="18"/>
        <v>ÎLE-DE-FRANCE|95 - Val-d'Oise|CA de Cergy-Pontoise</v>
      </c>
      <c r="O264" t="str">
        <f t="shared" si="19"/>
        <v>IDF</v>
      </c>
    </row>
    <row r="265" spans="1:15" x14ac:dyDescent="0.25">
      <c r="A265" t="s">
        <v>546</v>
      </c>
      <c r="B265" t="str">
        <f t="shared" si="16"/>
        <v>Val-d'Oise</v>
      </c>
      <c r="C265" t="s">
        <v>631</v>
      </c>
      <c r="D265" t="s">
        <v>632</v>
      </c>
      <c r="E265" t="s">
        <v>633</v>
      </c>
      <c r="F265" t="s">
        <v>1093</v>
      </c>
      <c r="G265" t="s">
        <v>21</v>
      </c>
      <c r="H265" s="5">
        <v>12083</v>
      </c>
      <c r="I265" s="1">
        <v>17796</v>
      </c>
      <c r="J265" s="1">
        <v>23556</v>
      </c>
      <c r="K265" s="1">
        <f t="shared" si="17"/>
        <v>1007</v>
      </c>
      <c r="L265" s="1">
        <f t="shared" si="17"/>
        <v>1483</v>
      </c>
      <c r="M265" s="1">
        <f t="shared" si="17"/>
        <v>1963</v>
      </c>
      <c r="N265" t="str">
        <f t="shared" si="18"/>
        <v>ÎLE-DE-FRANCE|95 - Val-d'Oise|CA Plaine Vallée</v>
      </c>
      <c r="O265" t="str">
        <f t="shared" si="19"/>
        <v>IDF</v>
      </c>
    </row>
    <row r="266" spans="1:15" x14ac:dyDescent="0.25">
      <c r="A266" t="s">
        <v>546</v>
      </c>
      <c r="B266" t="str">
        <f t="shared" si="16"/>
        <v>Val-d'Oise</v>
      </c>
      <c r="C266" t="s">
        <v>631</v>
      </c>
      <c r="D266" t="s">
        <v>566</v>
      </c>
      <c r="E266" t="s">
        <v>567</v>
      </c>
      <c r="F266" t="s">
        <v>1093</v>
      </c>
      <c r="G266" t="s">
        <v>21</v>
      </c>
      <c r="H266" s="5">
        <v>12083</v>
      </c>
      <c r="I266" s="1">
        <v>17796</v>
      </c>
      <c r="J266" s="1">
        <v>23556</v>
      </c>
      <c r="K266" s="1">
        <f t="shared" si="17"/>
        <v>1007</v>
      </c>
      <c r="L266" s="1">
        <f t="shared" si="17"/>
        <v>1483</v>
      </c>
      <c r="M266" s="1">
        <f t="shared" si="17"/>
        <v>1963</v>
      </c>
      <c r="N266" t="str">
        <f t="shared" si="18"/>
        <v>ÎLE-DE-FRANCE|95 - Val-d'Oise|CA Roissy Pays de France</v>
      </c>
      <c r="O266" t="str">
        <f t="shared" si="19"/>
        <v>IDF</v>
      </c>
    </row>
    <row r="267" spans="1:15" x14ac:dyDescent="0.25">
      <c r="A267" t="s">
        <v>546</v>
      </c>
      <c r="B267" t="str">
        <f t="shared" si="16"/>
        <v>Val-d'Oise</v>
      </c>
      <c r="C267" t="s">
        <v>631</v>
      </c>
      <c r="D267" t="s">
        <v>586</v>
      </c>
      <c r="E267" t="s">
        <v>587</v>
      </c>
      <c r="F267" t="s">
        <v>1093</v>
      </c>
      <c r="G267" t="s">
        <v>21</v>
      </c>
      <c r="H267" s="5">
        <v>12083</v>
      </c>
      <c r="I267" s="1">
        <v>17796</v>
      </c>
      <c r="J267" s="1">
        <v>23556</v>
      </c>
      <c r="K267" s="1">
        <f t="shared" si="17"/>
        <v>1007</v>
      </c>
      <c r="L267" s="1">
        <f t="shared" si="17"/>
        <v>1483</v>
      </c>
      <c r="M267" s="1">
        <f t="shared" si="17"/>
        <v>1963</v>
      </c>
      <c r="N267" t="str">
        <f t="shared" si="18"/>
        <v>ÎLE-DE-FRANCE|95 - Val-d'Oise|CA Saint Germain Boucles de Seine</v>
      </c>
      <c r="O267" t="str">
        <f t="shared" si="19"/>
        <v>IDF</v>
      </c>
    </row>
    <row r="268" spans="1:15" x14ac:dyDescent="0.25">
      <c r="A268" t="s">
        <v>546</v>
      </c>
      <c r="B268" t="str">
        <f t="shared" si="16"/>
        <v>Val-d'Oise</v>
      </c>
      <c r="C268" t="s">
        <v>631</v>
      </c>
      <c r="D268" t="s">
        <v>634</v>
      </c>
      <c r="E268" t="s">
        <v>635</v>
      </c>
      <c r="F268" t="s">
        <v>1093</v>
      </c>
      <c r="G268" t="s">
        <v>21</v>
      </c>
      <c r="H268" s="5">
        <v>12083</v>
      </c>
      <c r="I268" s="1">
        <v>17796</v>
      </c>
      <c r="J268" s="1">
        <v>23556</v>
      </c>
      <c r="K268" s="1">
        <f t="shared" si="17"/>
        <v>1007</v>
      </c>
      <c r="L268" s="1">
        <f t="shared" si="17"/>
        <v>1483</v>
      </c>
      <c r="M268" s="1">
        <f t="shared" si="17"/>
        <v>1963</v>
      </c>
      <c r="N268" t="str">
        <f t="shared" si="18"/>
        <v>ÎLE-DE-FRANCE|95 - Val-d'Oise|CA Val Parisis</v>
      </c>
      <c r="O268" t="str">
        <f t="shared" si="19"/>
        <v>IDF</v>
      </c>
    </row>
    <row r="269" spans="1:15" x14ac:dyDescent="0.25">
      <c r="A269" t="s">
        <v>546</v>
      </c>
      <c r="B269" t="str">
        <f t="shared" si="16"/>
        <v>Val-d'Oise</v>
      </c>
      <c r="C269" t="s">
        <v>631</v>
      </c>
      <c r="D269" t="s">
        <v>636</v>
      </c>
      <c r="E269" t="s">
        <v>637</v>
      </c>
      <c r="F269" t="s">
        <v>1093</v>
      </c>
      <c r="G269" t="s">
        <v>21</v>
      </c>
      <c r="H269" s="5">
        <v>12083</v>
      </c>
      <c r="I269" s="1">
        <v>17796</v>
      </c>
      <c r="J269" s="1">
        <v>23556</v>
      </c>
      <c r="K269" s="1">
        <f t="shared" si="17"/>
        <v>1007</v>
      </c>
      <c r="L269" s="1">
        <f t="shared" si="17"/>
        <v>1483</v>
      </c>
      <c r="M269" s="1">
        <f t="shared" si="17"/>
        <v>1963</v>
      </c>
      <c r="N269" t="str">
        <f t="shared" si="18"/>
        <v>ÎLE-DE-FRANCE|95 - Val-d'Oise|CC de la Vallée de l'Oise et des Trois Forêts</v>
      </c>
      <c r="O269" t="str">
        <f t="shared" si="19"/>
        <v>IDF</v>
      </c>
    </row>
    <row r="270" spans="1:15" x14ac:dyDescent="0.25">
      <c r="A270" t="s">
        <v>546</v>
      </c>
      <c r="B270" t="str">
        <f t="shared" si="16"/>
        <v>Val-d'Oise</v>
      </c>
      <c r="C270" t="s">
        <v>631</v>
      </c>
      <c r="D270" t="s">
        <v>638</v>
      </c>
      <c r="E270" t="s">
        <v>639</v>
      </c>
      <c r="F270" t="s">
        <v>1093</v>
      </c>
      <c r="G270" t="s">
        <v>21</v>
      </c>
      <c r="H270" s="5">
        <v>12083</v>
      </c>
      <c r="I270" s="1">
        <v>17796</v>
      </c>
      <c r="J270" s="1">
        <v>23556</v>
      </c>
      <c r="K270" s="1">
        <f t="shared" si="17"/>
        <v>1007</v>
      </c>
      <c r="L270" s="1">
        <f t="shared" si="17"/>
        <v>1483</v>
      </c>
      <c r="M270" s="1">
        <f t="shared" si="17"/>
        <v>1963</v>
      </c>
      <c r="N270" t="str">
        <f t="shared" si="18"/>
        <v>ÎLE-DE-FRANCE|95 - Val-d'Oise|CC du Haut Val d'Oise</v>
      </c>
      <c r="O270" t="str">
        <f t="shared" si="19"/>
        <v>IDF</v>
      </c>
    </row>
    <row r="271" spans="1:15" x14ac:dyDescent="0.25">
      <c r="A271" t="s">
        <v>640</v>
      </c>
      <c r="B271" t="str">
        <f t="shared" si="16"/>
        <v>-La Réunion</v>
      </c>
      <c r="C271" t="s">
        <v>642</v>
      </c>
      <c r="D271" t="s">
        <v>643</v>
      </c>
      <c r="E271" t="s">
        <v>644</v>
      </c>
      <c r="F271" t="s">
        <v>1093</v>
      </c>
      <c r="G271" t="s">
        <v>21</v>
      </c>
      <c r="H271" s="5">
        <v>7098</v>
      </c>
      <c r="I271" s="1">
        <v>11015</v>
      </c>
      <c r="J271" s="1">
        <v>15780</v>
      </c>
      <c r="K271" s="1">
        <f t="shared" si="17"/>
        <v>592</v>
      </c>
      <c r="L271" s="1">
        <f t="shared" si="17"/>
        <v>918</v>
      </c>
      <c r="M271" s="1">
        <f t="shared" si="17"/>
        <v>1315</v>
      </c>
      <c r="N271" t="str">
        <f t="shared" si="18"/>
        <v>LA RÉUNION|97 - -La Réunion|CA CIVIS (Communauté Intercommunale des Villes Solidaires)</v>
      </c>
      <c r="O271" t="str">
        <f t="shared" si="19"/>
        <v>OM</v>
      </c>
    </row>
    <row r="272" spans="1:15" x14ac:dyDescent="0.25">
      <c r="A272" t="s">
        <v>640</v>
      </c>
      <c r="B272" t="str">
        <f t="shared" si="16"/>
        <v>-La Réunion</v>
      </c>
      <c r="C272" t="s">
        <v>642</v>
      </c>
      <c r="D272" t="s">
        <v>645</v>
      </c>
      <c r="E272" t="s">
        <v>646</v>
      </c>
      <c r="F272" t="s">
        <v>1093</v>
      </c>
      <c r="G272" t="s">
        <v>21</v>
      </c>
      <c r="H272" s="5">
        <v>7025</v>
      </c>
      <c r="I272" s="1">
        <v>10416</v>
      </c>
      <c r="J272" s="1">
        <v>14353</v>
      </c>
      <c r="K272" s="1">
        <f t="shared" si="17"/>
        <v>585</v>
      </c>
      <c r="L272" s="1">
        <f t="shared" si="17"/>
        <v>868</v>
      </c>
      <c r="M272" s="1">
        <f t="shared" si="17"/>
        <v>1196</v>
      </c>
      <c r="N272" t="str">
        <f t="shared" si="18"/>
        <v>LA RÉUNION|97 - -La Réunion|CA du Sud</v>
      </c>
      <c r="O272" t="str">
        <f t="shared" si="19"/>
        <v>OM</v>
      </c>
    </row>
    <row r="273" spans="1:15" x14ac:dyDescent="0.25">
      <c r="A273" t="s">
        <v>640</v>
      </c>
      <c r="B273" t="str">
        <f t="shared" si="16"/>
        <v>-La Réunion</v>
      </c>
      <c r="C273" t="s">
        <v>642</v>
      </c>
      <c r="D273" t="s">
        <v>647</v>
      </c>
      <c r="E273" t="s">
        <v>648</v>
      </c>
      <c r="F273" t="s">
        <v>1093</v>
      </c>
      <c r="G273" t="s">
        <v>21</v>
      </c>
      <c r="H273" s="5">
        <v>6816</v>
      </c>
      <c r="I273" s="1">
        <v>10052</v>
      </c>
      <c r="J273" s="1">
        <v>14298</v>
      </c>
      <c r="K273" s="1">
        <f t="shared" si="17"/>
        <v>568</v>
      </c>
      <c r="L273" s="1">
        <f t="shared" si="17"/>
        <v>838</v>
      </c>
      <c r="M273" s="1">
        <f t="shared" si="17"/>
        <v>1192</v>
      </c>
      <c r="N273" t="str">
        <f t="shared" si="18"/>
        <v>LA RÉUNION|97 - -La Réunion|CA Intercommunale de la Réunion Est (CIREST)</v>
      </c>
      <c r="O273" t="str">
        <f t="shared" si="19"/>
        <v>OM</v>
      </c>
    </row>
    <row r="274" spans="1:15" x14ac:dyDescent="0.25">
      <c r="A274" t="s">
        <v>640</v>
      </c>
      <c r="B274" t="str">
        <f t="shared" si="16"/>
        <v>-La Réunion</v>
      </c>
      <c r="C274" t="s">
        <v>642</v>
      </c>
      <c r="D274" t="s">
        <v>649</v>
      </c>
      <c r="E274" t="s">
        <v>650</v>
      </c>
      <c r="F274" t="s">
        <v>1093</v>
      </c>
      <c r="G274" t="s">
        <v>21</v>
      </c>
      <c r="H274" s="5">
        <v>7427</v>
      </c>
      <c r="I274" s="1">
        <v>11524</v>
      </c>
      <c r="J274" s="1">
        <v>16848</v>
      </c>
      <c r="K274" s="1">
        <f t="shared" si="17"/>
        <v>619</v>
      </c>
      <c r="L274" s="1">
        <f t="shared" si="17"/>
        <v>960</v>
      </c>
      <c r="M274" s="1">
        <f t="shared" si="17"/>
        <v>1404</v>
      </c>
      <c r="N274" t="str">
        <f t="shared" si="18"/>
        <v>LA RÉUNION|97 - -La Réunion|CA Intercommunale du Nord de la Réunion (CINOR)</v>
      </c>
      <c r="O274" t="str">
        <f t="shared" si="19"/>
        <v>OM</v>
      </c>
    </row>
    <row r="275" spans="1:15" x14ac:dyDescent="0.25">
      <c r="A275" t="s">
        <v>640</v>
      </c>
      <c r="B275" t="str">
        <f t="shared" si="16"/>
        <v>-La Réunion</v>
      </c>
      <c r="C275" t="s">
        <v>642</v>
      </c>
      <c r="D275" t="s">
        <v>651</v>
      </c>
      <c r="E275" t="s">
        <v>652</v>
      </c>
      <c r="F275" t="s">
        <v>1093</v>
      </c>
      <c r="G275" t="s">
        <v>21</v>
      </c>
      <c r="H275" s="5">
        <v>7680</v>
      </c>
      <c r="I275" s="1">
        <v>12144</v>
      </c>
      <c r="J275" s="1">
        <v>17886</v>
      </c>
      <c r="K275" s="1">
        <f t="shared" si="17"/>
        <v>640</v>
      </c>
      <c r="L275" s="1">
        <f t="shared" si="17"/>
        <v>1012</v>
      </c>
      <c r="M275" s="1">
        <f t="shared" si="17"/>
        <v>1491</v>
      </c>
      <c r="N275" t="str">
        <f t="shared" si="18"/>
        <v>LA RÉUNION|97 - -La Réunion|CA Territoire de la Côte Ouest (TCO)</v>
      </c>
      <c r="O275" t="str">
        <f t="shared" si="19"/>
        <v>OM</v>
      </c>
    </row>
    <row r="276" spans="1:15" x14ac:dyDescent="0.25">
      <c r="A276" t="s">
        <v>653</v>
      </c>
      <c r="B276" t="str">
        <f t="shared" si="16"/>
        <v>-Martinique</v>
      </c>
      <c r="C276" t="s">
        <v>655</v>
      </c>
      <c r="D276" t="s">
        <v>656</v>
      </c>
      <c r="E276" t="s">
        <v>657</v>
      </c>
      <c r="F276" t="s">
        <v>1093</v>
      </c>
      <c r="G276" t="s">
        <v>21</v>
      </c>
      <c r="H276" s="5">
        <v>8491</v>
      </c>
      <c r="I276" s="1">
        <v>13032</v>
      </c>
      <c r="J276" s="1">
        <v>18638</v>
      </c>
      <c r="K276" s="1">
        <f t="shared" si="17"/>
        <v>708</v>
      </c>
      <c r="L276" s="1">
        <f t="shared" si="17"/>
        <v>1086</v>
      </c>
      <c r="M276" s="1">
        <f t="shared" si="17"/>
        <v>1553</v>
      </c>
      <c r="N276" t="str">
        <f t="shared" si="18"/>
        <v>MARTINIQUE|97 - -Martinique|CA de l'Espace Sud de la Martinique</v>
      </c>
      <c r="O276" t="str">
        <f t="shared" si="19"/>
        <v>OM</v>
      </c>
    </row>
    <row r="277" spans="1:15" x14ac:dyDescent="0.25">
      <c r="A277" t="s">
        <v>653</v>
      </c>
      <c r="B277" t="str">
        <f t="shared" si="16"/>
        <v>-Martinique</v>
      </c>
      <c r="C277" t="s">
        <v>655</v>
      </c>
      <c r="D277" t="s">
        <v>658</v>
      </c>
      <c r="E277" t="s">
        <v>659</v>
      </c>
      <c r="F277" t="s">
        <v>1093</v>
      </c>
      <c r="G277" t="s">
        <v>21</v>
      </c>
      <c r="H277" s="5">
        <v>9083</v>
      </c>
      <c r="I277" s="1">
        <v>14280</v>
      </c>
      <c r="J277" s="1">
        <v>20308</v>
      </c>
      <c r="K277" s="1">
        <f t="shared" si="17"/>
        <v>757</v>
      </c>
      <c r="L277" s="1">
        <f t="shared" si="17"/>
        <v>1190</v>
      </c>
      <c r="M277" s="1">
        <f t="shared" si="17"/>
        <v>1692</v>
      </c>
      <c r="N277" t="str">
        <f t="shared" si="18"/>
        <v>MARTINIQUE|97 - -Martinique|CA du Centre de la Martinique</v>
      </c>
      <c r="O277" t="str">
        <f t="shared" si="19"/>
        <v>OM</v>
      </c>
    </row>
    <row r="278" spans="1:15" x14ac:dyDescent="0.25">
      <c r="A278" t="s">
        <v>653</v>
      </c>
      <c r="B278" t="str">
        <f t="shared" si="16"/>
        <v>-Martinique</v>
      </c>
      <c r="C278" t="s">
        <v>655</v>
      </c>
      <c r="D278" t="s">
        <v>660</v>
      </c>
      <c r="E278" t="s">
        <v>661</v>
      </c>
      <c r="F278" t="s">
        <v>1093</v>
      </c>
      <c r="G278" t="s">
        <v>21</v>
      </c>
      <c r="H278" s="5">
        <v>8000</v>
      </c>
      <c r="I278" s="1">
        <v>12396</v>
      </c>
      <c r="J278" s="1">
        <v>17880</v>
      </c>
      <c r="K278" s="1">
        <f t="shared" si="17"/>
        <v>667</v>
      </c>
      <c r="L278" s="1">
        <f t="shared" si="17"/>
        <v>1033</v>
      </c>
      <c r="M278" s="1">
        <f t="shared" si="17"/>
        <v>1490</v>
      </c>
      <c r="N278" t="str">
        <f t="shared" si="18"/>
        <v>MARTINIQUE|97 - -Martinique|CA du Pays Nord Martinique</v>
      </c>
      <c r="O278" t="str">
        <f t="shared" si="19"/>
        <v>OM</v>
      </c>
    </row>
    <row r="279" spans="1:15" x14ac:dyDescent="0.25">
      <c r="A279" t="s">
        <v>662</v>
      </c>
      <c r="B279" t="str">
        <f t="shared" si="16"/>
        <v>-Mayotte</v>
      </c>
      <c r="C279" t="s">
        <v>664</v>
      </c>
      <c r="D279" t="s">
        <v>665</v>
      </c>
      <c r="E279" t="s">
        <v>666</v>
      </c>
      <c r="F279" t="s">
        <v>1093</v>
      </c>
      <c r="G279" t="s">
        <v>21</v>
      </c>
      <c r="H279" s="5">
        <v>8978</v>
      </c>
      <c r="I279" s="1">
        <v>14340</v>
      </c>
      <c r="J279" s="1">
        <v>21785</v>
      </c>
      <c r="K279" s="1">
        <f t="shared" si="17"/>
        <v>748</v>
      </c>
      <c r="L279" s="1">
        <f t="shared" si="17"/>
        <v>1195</v>
      </c>
      <c r="M279" s="1">
        <f t="shared" si="17"/>
        <v>1815</v>
      </c>
      <c r="N279" t="str">
        <f t="shared" si="18"/>
        <v>MAYOTTE|97 - -Mayotte|CA de Dembeni / Mamoudzou</v>
      </c>
      <c r="O279" t="str">
        <f t="shared" si="19"/>
        <v>OM</v>
      </c>
    </row>
    <row r="280" spans="1:15" x14ac:dyDescent="0.25">
      <c r="A280" t="s">
        <v>662</v>
      </c>
      <c r="B280" t="str">
        <f t="shared" si="16"/>
        <v>-Mayotte</v>
      </c>
      <c r="C280" t="s">
        <v>664</v>
      </c>
      <c r="D280" t="s">
        <v>667</v>
      </c>
      <c r="E280" t="s">
        <v>668</v>
      </c>
      <c r="F280" t="s">
        <v>1093</v>
      </c>
      <c r="G280" t="s">
        <v>21</v>
      </c>
      <c r="H280" s="5">
        <v>5760</v>
      </c>
      <c r="I280" s="1">
        <v>10149</v>
      </c>
      <c r="J280" s="1">
        <v>16773</v>
      </c>
      <c r="K280" s="1">
        <f t="shared" si="17"/>
        <v>480</v>
      </c>
      <c r="L280" s="1">
        <f t="shared" si="17"/>
        <v>846</v>
      </c>
      <c r="M280" s="1">
        <f t="shared" si="17"/>
        <v>1398</v>
      </c>
      <c r="N280" t="str">
        <f t="shared" si="18"/>
        <v>MAYOTTE|97 - -Mayotte|CA du Grand Nord de Mayotte</v>
      </c>
      <c r="O280" t="str">
        <f t="shared" si="19"/>
        <v>OM</v>
      </c>
    </row>
    <row r="281" spans="1:15" x14ac:dyDescent="0.25">
      <c r="A281" t="s">
        <v>662</v>
      </c>
      <c r="B281" t="str">
        <f t="shared" si="16"/>
        <v>-Mayotte</v>
      </c>
      <c r="C281" t="s">
        <v>664</v>
      </c>
      <c r="D281" t="s">
        <v>669</v>
      </c>
      <c r="E281" t="s">
        <v>670</v>
      </c>
      <c r="F281" t="s">
        <v>1093</v>
      </c>
      <c r="G281" t="s">
        <v>21</v>
      </c>
      <c r="H281" s="5">
        <v>10268</v>
      </c>
      <c r="I281" s="1">
        <v>15789</v>
      </c>
      <c r="J281" s="1">
        <v>21887</v>
      </c>
      <c r="K281" s="1">
        <f t="shared" si="17"/>
        <v>856</v>
      </c>
      <c r="L281" s="1">
        <f t="shared" si="17"/>
        <v>1316</v>
      </c>
      <c r="M281" s="1">
        <f t="shared" si="17"/>
        <v>1824</v>
      </c>
      <c r="N281" t="str">
        <f t="shared" si="18"/>
        <v>MAYOTTE|97 - -Mayotte|CC de Petite-Terre</v>
      </c>
      <c r="O281" t="str">
        <f t="shared" si="19"/>
        <v>OM</v>
      </c>
    </row>
    <row r="282" spans="1:15" x14ac:dyDescent="0.25">
      <c r="A282" t="s">
        <v>662</v>
      </c>
      <c r="B282" t="str">
        <f t="shared" si="16"/>
        <v>-Mayotte</v>
      </c>
      <c r="C282" t="s">
        <v>664</v>
      </c>
      <c r="D282" t="s">
        <v>671</v>
      </c>
      <c r="E282" t="s">
        <v>672</v>
      </c>
      <c r="F282" t="s">
        <v>1093</v>
      </c>
      <c r="G282" t="s">
        <v>21</v>
      </c>
      <c r="H282" s="5">
        <v>7925</v>
      </c>
      <c r="I282" s="1">
        <v>12903</v>
      </c>
      <c r="J282" s="1">
        <v>19974</v>
      </c>
      <c r="K282" s="1">
        <f t="shared" si="17"/>
        <v>660</v>
      </c>
      <c r="L282" s="1">
        <f t="shared" si="17"/>
        <v>1075</v>
      </c>
      <c r="M282" s="1">
        <f t="shared" si="17"/>
        <v>1665</v>
      </c>
      <c r="N282" t="str">
        <f t="shared" si="18"/>
        <v>MAYOTTE|97 - -Mayotte|CC du Centre-Ouest</v>
      </c>
      <c r="O282" t="str">
        <f t="shared" si="19"/>
        <v>OM</v>
      </c>
    </row>
    <row r="283" spans="1:15" x14ac:dyDescent="0.25">
      <c r="A283" t="s">
        <v>662</v>
      </c>
      <c r="B283" t="str">
        <f t="shared" si="16"/>
        <v>-Mayotte</v>
      </c>
      <c r="C283" t="s">
        <v>664</v>
      </c>
      <c r="D283" t="s">
        <v>673</v>
      </c>
      <c r="E283" t="s">
        <v>674</v>
      </c>
      <c r="F283" t="s">
        <v>1093</v>
      </c>
      <c r="G283" t="s">
        <v>21</v>
      </c>
      <c r="H283" s="5">
        <v>6406</v>
      </c>
      <c r="I283" s="1">
        <v>11116</v>
      </c>
      <c r="J283" s="1">
        <v>18341</v>
      </c>
      <c r="K283" s="1">
        <f t="shared" si="17"/>
        <v>534</v>
      </c>
      <c r="L283" s="1">
        <f t="shared" si="17"/>
        <v>926</v>
      </c>
      <c r="M283" s="1">
        <f t="shared" si="17"/>
        <v>1528</v>
      </c>
      <c r="N283" t="str">
        <f t="shared" si="18"/>
        <v>MAYOTTE|97 - -Mayotte|CC du Sud</v>
      </c>
      <c r="O283" t="str">
        <f t="shared" si="19"/>
        <v>OM</v>
      </c>
    </row>
    <row r="284" spans="1:15" x14ac:dyDescent="0.25">
      <c r="A284" t="s">
        <v>675</v>
      </c>
      <c r="B284" t="str">
        <f t="shared" si="16"/>
        <v>Calvados</v>
      </c>
      <c r="C284" t="s">
        <v>677</v>
      </c>
      <c r="D284" t="s">
        <v>678</v>
      </c>
      <c r="E284" t="s">
        <v>679</v>
      </c>
      <c r="F284" t="s">
        <v>1093</v>
      </c>
      <c r="G284" t="s">
        <v>21</v>
      </c>
      <c r="H284" s="5">
        <v>10551</v>
      </c>
      <c r="I284" s="1">
        <v>14154</v>
      </c>
      <c r="J284" s="1">
        <v>19199</v>
      </c>
      <c r="K284" s="1">
        <f t="shared" si="17"/>
        <v>879</v>
      </c>
      <c r="L284" s="1">
        <f t="shared" si="17"/>
        <v>1180</v>
      </c>
      <c r="M284" s="1">
        <f t="shared" si="17"/>
        <v>1600</v>
      </c>
      <c r="N284" t="str">
        <f t="shared" si="18"/>
        <v>NORMANDIE|14 - Calvados|CA Lisieux Normandie</v>
      </c>
      <c r="O284" t="str">
        <f t="shared" si="19"/>
        <v>Province</v>
      </c>
    </row>
    <row r="285" spans="1:15" x14ac:dyDescent="0.25">
      <c r="A285" t="s">
        <v>675</v>
      </c>
      <c r="B285" t="str">
        <f t="shared" si="16"/>
        <v>Calvados</v>
      </c>
      <c r="C285" t="s">
        <v>677</v>
      </c>
      <c r="D285" t="s">
        <v>680</v>
      </c>
      <c r="E285" t="s">
        <v>681</v>
      </c>
      <c r="F285" t="s">
        <v>1093</v>
      </c>
      <c r="G285" t="s">
        <v>21</v>
      </c>
      <c r="H285" s="5">
        <v>12000</v>
      </c>
      <c r="I285" s="1">
        <v>15585</v>
      </c>
      <c r="J285" s="1">
        <v>19826</v>
      </c>
      <c r="K285" s="1">
        <f t="shared" si="17"/>
        <v>1000</v>
      </c>
      <c r="L285" s="1">
        <f t="shared" si="17"/>
        <v>1299</v>
      </c>
      <c r="M285" s="1">
        <f t="shared" si="17"/>
        <v>1652</v>
      </c>
      <c r="N285" t="str">
        <f t="shared" si="18"/>
        <v>NORMANDIE|14 - Calvados|CC de Bayeux Intercom</v>
      </c>
      <c r="O285" t="str">
        <f t="shared" si="19"/>
        <v>Province</v>
      </c>
    </row>
    <row r="286" spans="1:15" x14ac:dyDescent="0.25">
      <c r="A286" t="s">
        <v>675</v>
      </c>
      <c r="B286" t="str">
        <f t="shared" si="16"/>
        <v>Calvados</v>
      </c>
      <c r="C286" t="s">
        <v>677</v>
      </c>
      <c r="D286" t="s">
        <v>682</v>
      </c>
      <c r="E286" t="s">
        <v>683</v>
      </c>
      <c r="F286" t="s">
        <v>1093</v>
      </c>
      <c r="G286" t="s">
        <v>21</v>
      </c>
      <c r="H286" s="5">
        <v>11598</v>
      </c>
      <c r="I286" s="1">
        <v>15600</v>
      </c>
      <c r="J286" s="1">
        <v>20462</v>
      </c>
      <c r="K286" s="1">
        <f t="shared" si="17"/>
        <v>967</v>
      </c>
      <c r="L286" s="1">
        <f t="shared" si="17"/>
        <v>1300</v>
      </c>
      <c r="M286" s="1">
        <f t="shared" si="17"/>
        <v>1705</v>
      </c>
      <c r="N286" t="str">
        <f t="shared" si="18"/>
        <v>NORMANDIE|14 - Calvados|CC du Pays de Honfleur-Beuzeville</v>
      </c>
      <c r="O286" t="str">
        <f t="shared" si="19"/>
        <v>Province</v>
      </c>
    </row>
    <row r="287" spans="1:15" x14ac:dyDescent="0.25">
      <c r="A287" t="s">
        <v>675</v>
      </c>
      <c r="B287" t="str">
        <f t="shared" si="16"/>
        <v>Calvados</v>
      </c>
      <c r="C287" t="s">
        <v>677</v>
      </c>
      <c r="D287" t="s">
        <v>684</v>
      </c>
      <c r="E287" t="s">
        <v>685</v>
      </c>
      <c r="F287" t="s">
        <v>1093</v>
      </c>
      <c r="G287" t="s">
        <v>21</v>
      </c>
      <c r="H287" s="5">
        <v>9773</v>
      </c>
      <c r="I287" s="1">
        <v>13656</v>
      </c>
      <c r="J287" s="1">
        <v>18372</v>
      </c>
      <c r="K287" s="1">
        <f t="shared" si="17"/>
        <v>814</v>
      </c>
      <c r="L287" s="1">
        <f t="shared" si="17"/>
        <v>1138</v>
      </c>
      <c r="M287" s="1">
        <f t="shared" si="17"/>
        <v>1531</v>
      </c>
      <c r="N287" t="str">
        <f t="shared" si="18"/>
        <v>NORMANDIE|14 - Calvados|CC Intercom de la Vire au Noireau</v>
      </c>
      <c r="O287" t="str">
        <f t="shared" si="19"/>
        <v>Province</v>
      </c>
    </row>
    <row r="288" spans="1:15" x14ac:dyDescent="0.25">
      <c r="A288" t="s">
        <v>675</v>
      </c>
      <c r="B288" t="str">
        <f t="shared" si="16"/>
        <v>Calvados</v>
      </c>
      <c r="C288" t="s">
        <v>677</v>
      </c>
      <c r="D288" t="s">
        <v>686</v>
      </c>
      <c r="E288" t="s">
        <v>687</v>
      </c>
      <c r="F288" t="s">
        <v>1093</v>
      </c>
      <c r="G288" t="s">
        <v>21</v>
      </c>
      <c r="H288" s="5">
        <v>10656</v>
      </c>
      <c r="I288" s="1">
        <v>15000</v>
      </c>
      <c r="J288" s="1">
        <v>20160</v>
      </c>
      <c r="K288" s="1">
        <f t="shared" si="17"/>
        <v>888</v>
      </c>
      <c r="L288" s="1">
        <f t="shared" si="17"/>
        <v>1250</v>
      </c>
      <c r="M288" s="1">
        <f t="shared" si="17"/>
        <v>1680</v>
      </c>
      <c r="N288" t="str">
        <f t="shared" si="18"/>
        <v>NORMANDIE|14 - Calvados|CU Caen la Mer</v>
      </c>
      <c r="O288" t="str">
        <f t="shared" si="19"/>
        <v>Province</v>
      </c>
    </row>
    <row r="289" spans="1:15" x14ac:dyDescent="0.25">
      <c r="A289" t="s">
        <v>675</v>
      </c>
      <c r="B289" t="str">
        <f t="shared" si="16"/>
        <v>Eure</v>
      </c>
      <c r="C289" t="s">
        <v>689</v>
      </c>
      <c r="D289" t="s">
        <v>273</v>
      </c>
      <c r="E289" t="s">
        <v>274</v>
      </c>
      <c r="F289" t="s">
        <v>1093</v>
      </c>
      <c r="G289" t="s">
        <v>21</v>
      </c>
      <c r="H289" s="5">
        <v>9688</v>
      </c>
      <c r="I289" s="1">
        <v>13800</v>
      </c>
      <c r="J289" s="1">
        <v>18816</v>
      </c>
      <c r="K289" s="1">
        <f t="shared" si="17"/>
        <v>807</v>
      </c>
      <c r="L289" s="1">
        <f t="shared" si="17"/>
        <v>1150</v>
      </c>
      <c r="M289" s="1">
        <f t="shared" si="17"/>
        <v>1568</v>
      </c>
      <c r="N289" t="str">
        <f t="shared" si="18"/>
        <v>NORMANDIE|27 - Eure|CA Agglo du Pays de Dreux</v>
      </c>
      <c r="O289" t="str">
        <f t="shared" si="19"/>
        <v>Province</v>
      </c>
    </row>
    <row r="290" spans="1:15" x14ac:dyDescent="0.25">
      <c r="A290" t="s">
        <v>675</v>
      </c>
      <c r="B290" t="str">
        <f t="shared" si="16"/>
        <v>Eure</v>
      </c>
      <c r="C290" t="s">
        <v>689</v>
      </c>
      <c r="D290" t="s">
        <v>690</v>
      </c>
      <c r="E290" t="s">
        <v>691</v>
      </c>
      <c r="F290" t="s">
        <v>1093</v>
      </c>
      <c r="G290" t="s">
        <v>21</v>
      </c>
      <c r="H290" s="5">
        <v>9600</v>
      </c>
      <c r="I290" s="1">
        <v>13524</v>
      </c>
      <c r="J290" s="1">
        <v>18787</v>
      </c>
      <c r="K290" s="1">
        <f t="shared" si="17"/>
        <v>800</v>
      </c>
      <c r="L290" s="1">
        <f t="shared" si="17"/>
        <v>1127</v>
      </c>
      <c r="M290" s="1">
        <f t="shared" si="17"/>
        <v>1566</v>
      </c>
      <c r="N290" t="str">
        <f t="shared" si="18"/>
        <v>NORMANDIE|27 - Eure|CA Evreux Portes de Normandie</v>
      </c>
      <c r="O290" t="str">
        <f t="shared" si="19"/>
        <v>Province</v>
      </c>
    </row>
    <row r="291" spans="1:15" x14ac:dyDescent="0.25">
      <c r="A291" t="s">
        <v>675</v>
      </c>
      <c r="B291" t="str">
        <f t="shared" si="16"/>
        <v>Eure</v>
      </c>
      <c r="C291" t="s">
        <v>689</v>
      </c>
      <c r="D291" t="s">
        <v>692</v>
      </c>
      <c r="E291" t="s">
        <v>693</v>
      </c>
      <c r="F291" t="s">
        <v>1093</v>
      </c>
      <c r="G291" t="s">
        <v>21</v>
      </c>
      <c r="H291" s="5">
        <v>10396</v>
      </c>
      <c r="I291" s="1">
        <v>14395</v>
      </c>
      <c r="J291" s="1">
        <v>19540</v>
      </c>
      <c r="K291" s="1">
        <f t="shared" si="17"/>
        <v>866</v>
      </c>
      <c r="L291" s="1">
        <f t="shared" si="17"/>
        <v>1200</v>
      </c>
      <c r="M291" s="1">
        <f t="shared" si="17"/>
        <v>1628</v>
      </c>
      <c r="N291" t="str">
        <f t="shared" si="18"/>
        <v>NORMANDIE|27 - Eure|CA Seine-Eure</v>
      </c>
      <c r="O291" t="str">
        <f t="shared" si="19"/>
        <v>Province</v>
      </c>
    </row>
    <row r="292" spans="1:15" x14ac:dyDescent="0.25">
      <c r="A292" t="s">
        <v>675</v>
      </c>
      <c r="B292" t="str">
        <f t="shared" si="16"/>
        <v>Eure</v>
      </c>
      <c r="C292" t="s">
        <v>689</v>
      </c>
      <c r="D292" t="s">
        <v>694</v>
      </c>
      <c r="E292" t="s">
        <v>695</v>
      </c>
      <c r="F292" t="s">
        <v>1093</v>
      </c>
      <c r="G292" t="s">
        <v>21</v>
      </c>
      <c r="H292" s="5">
        <v>10286</v>
      </c>
      <c r="I292" s="1">
        <v>14339</v>
      </c>
      <c r="J292" s="1">
        <v>19305</v>
      </c>
      <c r="K292" s="1">
        <f t="shared" si="17"/>
        <v>857</v>
      </c>
      <c r="L292" s="1">
        <f t="shared" si="17"/>
        <v>1195</v>
      </c>
      <c r="M292" s="1">
        <f t="shared" si="17"/>
        <v>1609</v>
      </c>
      <c r="N292" t="str">
        <f t="shared" si="18"/>
        <v>NORMANDIE|27 - Eure|CA Seine Normandie Agglomération</v>
      </c>
      <c r="O292" t="str">
        <f t="shared" si="19"/>
        <v>Province</v>
      </c>
    </row>
    <row r="293" spans="1:15" x14ac:dyDescent="0.25">
      <c r="A293" t="s">
        <v>675</v>
      </c>
      <c r="B293" t="str">
        <f t="shared" si="16"/>
        <v>Eure</v>
      </c>
      <c r="C293" t="s">
        <v>689</v>
      </c>
      <c r="D293" t="s">
        <v>696</v>
      </c>
      <c r="E293" t="s">
        <v>697</v>
      </c>
      <c r="F293" t="s">
        <v>1093</v>
      </c>
      <c r="G293" t="s">
        <v>21</v>
      </c>
      <c r="H293" s="5">
        <v>10476</v>
      </c>
      <c r="I293" s="1">
        <v>14067</v>
      </c>
      <c r="J293" s="1">
        <v>19378</v>
      </c>
      <c r="K293" s="1">
        <f t="shared" si="17"/>
        <v>873</v>
      </c>
      <c r="L293" s="1">
        <f t="shared" si="17"/>
        <v>1172</v>
      </c>
      <c r="M293" s="1">
        <f t="shared" si="17"/>
        <v>1615</v>
      </c>
      <c r="N293" t="str">
        <f t="shared" si="18"/>
        <v>NORMANDIE|27 - Eure|CC de Pont-Audemer / Val de Risle</v>
      </c>
      <c r="O293" t="str">
        <f t="shared" si="19"/>
        <v>Province</v>
      </c>
    </row>
    <row r="294" spans="1:15" x14ac:dyDescent="0.25">
      <c r="A294" t="s">
        <v>675</v>
      </c>
      <c r="B294" t="str">
        <f t="shared" si="16"/>
        <v>Eure</v>
      </c>
      <c r="C294" t="s">
        <v>689</v>
      </c>
      <c r="D294" t="s">
        <v>682</v>
      </c>
      <c r="E294" t="s">
        <v>683</v>
      </c>
      <c r="F294" t="s">
        <v>1093</v>
      </c>
      <c r="G294" t="s">
        <v>21</v>
      </c>
      <c r="H294" s="5">
        <v>11598</v>
      </c>
      <c r="I294" s="1">
        <v>15600</v>
      </c>
      <c r="J294" s="1">
        <v>20462</v>
      </c>
      <c r="K294" s="1">
        <f t="shared" si="17"/>
        <v>967</v>
      </c>
      <c r="L294" s="1">
        <f t="shared" si="17"/>
        <v>1300</v>
      </c>
      <c r="M294" s="1">
        <f t="shared" si="17"/>
        <v>1705</v>
      </c>
      <c r="N294" t="str">
        <f t="shared" si="18"/>
        <v>NORMANDIE|27 - Eure|CC du Pays de Honfleur-Beuzeville</v>
      </c>
      <c r="O294" t="str">
        <f t="shared" si="19"/>
        <v>Province</v>
      </c>
    </row>
    <row r="295" spans="1:15" x14ac:dyDescent="0.25">
      <c r="A295" t="s">
        <v>675</v>
      </c>
      <c r="B295" t="str">
        <f t="shared" si="16"/>
        <v>Eure</v>
      </c>
      <c r="C295" t="s">
        <v>689</v>
      </c>
      <c r="D295" t="s">
        <v>698</v>
      </c>
      <c r="E295" t="s">
        <v>699</v>
      </c>
      <c r="F295" t="s">
        <v>1093</v>
      </c>
      <c r="G295" t="s">
        <v>21</v>
      </c>
      <c r="H295" s="5">
        <v>9683</v>
      </c>
      <c r="I295" s="1">
        <v>14728</v>
      </c>
      <c r="J295" s="1">
        <v>19597</v>
      </c>
      <c r="K295" s="1">
        <f t="shared" si="17"/>
        <v>807</v>
      </c>
      <c r="L295" s="1">
        <f t="shared" si="17"/>
        <v>1227</v>
      </c>
      <c r="M295" s="1">
        <f t="shared" si="17"/>
        <v>1633</v>
      </c>
      <c r="N295" t="str">
        <f t="shared" si="18"/>
        <v>NORMANDIE|27 - Eure|CC du Vexin Normand</v>
      </c>
      <c r="O295" t="str">
        <f t="shared" si="19"/>
        <v>Province</v>
      </c>
    </row>
    <row r="296" spans="1:15" x14ac:dyDescent="0.25">
      <c r="A296" t="s">
        <v>675</v>
      </c>
      <c r="B296" t="str">
        <f t="shared" si="16"/>
        <v>Eure</v>
      </c>
      <c r="C296" t="s">
        <v>689</v>
      </c>
      <c r="D296" t="s">
        <v>700</v>
      </c>
      <c r="E296" t="s">
        <v>701</v>
      </c>
      <c r="F296" t="s">
        <v>1093</v>
      </c>
      <c r="G296" t="s">
        <v>21</v>
      </c>
      <c r="H296" s="5">
        <v>8901</v>
      </c>
      <c r="I296" s="1">
        <v>12422</v>
      </c>
      <c r="J296" s="1">
        <v>17628</v>
      </c>
      <c r="K296" s="1">
        <f t="shared" si="17"/>
        <v>742</v>
      </c>
      <c r="L296" s="1">
        <f t="shared" si="17"/>
        <v>1035</v>
      </c>
      <c r="M296" s="1">
        <f t="shared" si="17"/>
        <v>1469</v>
      </c>
      <c r="N296" t="str">
        <f t="shared" si="18"/>
        <v>NORMANDIE|27 - Eure|CC Intercom Bernay Terres de Normandie</v>
      </c>
      <c r="O296" t="str">
        <f t="shared" si="19"/>
        <v>Province</v>
      </c>
    </row>
    <row r="297" spans="1:15" x14ac:dyDescent="0.25">
      <c r="A297" t="s">
        <v>675</v>
      </c>
      <c r="B297" t="str">
        <f t="shared" si="16"/>
        <v>Manche</v>
      </c>
      <c r="C297" t="s">
        <v>703</v>
      </c>
      <c r="D297" t="s">
        <v>704</v>
      </c>
      <c r="E297" t="s">
        <v>705</v>
      </c>
      <c r="F297" t="s">
        <v>1093</v>
      </c>
      <c r="G297" t="s">
        <v>21</v>
      </c>
      <c r="H297" s="5">
        <v>11742</v>
      </c>
      <c r="I297" s="1">
        <v>15873</v>
      </c>
      <c r="J297" s="1">
        <v>20618</v>
      </c>
      <c r="K297" s="1">
        <f t="shared" si="17"/>
        <v>979</v>
      </c>
      <c r="L297" s="1">
        <f t="shared" si="17"/>
        <v>1323</v>
      </c>
      <c r="M297" s="1">
        <f t="shared" si="17"/>
        <v>1718</v>
      </c>
      <c r="N297" t="str">
        <f t="shared" si="18"/>
        <v>NORMANDIE|50 - Manche|CA du Cotentin</v>
      </c>
      <c r="O297" t="str">
        <f t="shared" si="19"/>
        <v>Province</v>
      </c>
    </row>
    <row r="298" spans="1:15" x14ac:dyDescent="0.25">
      <c r="A298" t="s">
        <v>675</v>
      </c>
      <c r="B298" t="str">
        <f t="shared" si="16"/>
        <v>Manche</v>
      </c>
      <c r="C298" t="s">
        <v>703</v>
      </c>
      <c r="D298" t="s">
        <v>706</v>
      </c>
      <c r="E298" t="s">
        <v>707</v>
      </c>
      <c r="F298" t="s">
        <v>1093</v>
      </c>
      <c r="G298" t="s">
        <v>21</v>
      </c>
      <c r="H298" s="5">
        <v>10458</v>
      </c>
      <c r="I298" s="1">
        <v>14027</v>
      </c>
      <c r="J298" s="1">
        <v>18660</v>
      </c>
      <c r="K298" s="1">
        <f t="shared" si="17"/>
        <v>872</v>
      </c>
      <c r="L298" s="1">
        <f t="shared" si="17"/>
        <v>1169</v>
      </c>
      <c r="M298" s="1">
        <f t="shared" si="17"/>
        <v>1555</v>
      </c>
      <c r="N298" t="str">
        <f t="shared" si="18"/>
        <v>NORMANDIE|50 - Manche|CA Mont-Saint-Michel-Normandie</v>
      </c>
      <c r="O298" t="str">
        <f t="shared" si="19"/>
        <v>Province</v>
      </c>
    </row>
    <row r="299" spans="1:15" x14ac:dyDescent="0.25">
      <c r="A299" t="s">
        <v>675</v>
      </c>
      <c r="B299" t="str">
        <f t="shared" si="16"/>
        <v>Manche</v>
      </c>
      <c r="C299" t="s">
        <v>703</v>
      </c>
      <c r="D299" t="s">
        <v>708</v>
      </c>
      <c r="E299" t="s">
        <v>709</v>
      </c>
      <c r="F299" t="s">
        <v>1093</v>
      </c>
      <c r="G299" t="s">
        <v>21</v>
      </c>
      <c r="H299" s="5">
        <v>10784</v>
      </c>
      <c r="I299" s="1">
        <v>14408</v>
      </c>
      <c r="J299" s="1">
        <v>19368</v>
      </c>
      <c r="K299" s="1">
        <f t="shared" si="17"/>
        <v>899</v>
      </c>
      <c r="L299" s="1">
        <f t="shared" si="17"/>
        <v>1201</v>
      </c>
      <c r="M299" s="1">
        <f t="shared" si="17"/>
        <v>1614</v>
      </c>
      <c r="N299" t="str">
        <f t="shared" si="18"/>
        <v>NORMANDIE|50 - Manche|CA Saint-Lô Agglo</v>
      </c>
      <c r="O299" t="str">
        <f t="shared" si="19"/>
        <v>Province</v>
      </c>
    </row>
    <row r="300" spans="1:15" x14ac:dyDescent="0.25">
      <c r="A300" t="s">
        <v>675</v>
      </c>
      <c r="B300" t="str">
        <f t="shared" si="16"/>
        <v>Manche</v>
      </c>
      <c r="C300" t="s">
        <v>703</v>
      </c>
      <c r="D300" t="s">
        <v>710</v>
      </c>
      <c r="E300" t="s">
        <v>711</v>
      </c>
      <c r="F300" t="s">
        <v>1093</v>
      </c>
      <c r="G300" t="s">
        <v>21</v>
      </c>
      <c r="H300" s="5">
        <v>11151</v>
      </c>
      <c r="I300" s="1">
        <v>14265</v>
      </c>
      <c r="J300" s="1">
        <v>19200</v>
      </c>
      <c r="K300" s="1">
        <f t="shared" si="17"/>
        <v>929</v>
      </c>
      <c r="L300" s="1">
        <f t="shared" si="17"/>
        <v>1189</v>
      </c>
      <c r="M300" s="1">
        <f t="shared" si="17"/>
        <v>1600</v>
      </c>
      <c r="N300" t="str">
        <f t="shared" si="18"/>
        <v>NORMANDIE|50 - Manche|CC Coutances Mer et Bocage</v>
      </c>
      <c r="O300" t="str">
        <f t="shared" si="19"/>
        <v>Province</v>
      </c>
    </row>
    <row r="301" spans="1:15" x14ac:dyDescent="0.25">
      <c r="A301" t="s">
        <v>675</v>
      </c>
      <c r="B301" t="str">
        <f t="shared" si="16"/>
        <v>Manche</v>
      </c>
      <c r="C301" t="s">
        <v>703</v>
      </c>
      <c r="D301" t="s">
        <v>712</v>
      </c>
      <c r="E301" t="s">
        <v>713</v>
      </c>
      <c r="F301" t="s">
        <v>1093</v>
      </c>
      <c r="G301" t="s">
        <v>21</v>
      </c>
      <c r="H301" s="5">
        <v>11677</v>
      </c>
      <c r="I301" s="1">
        <v>14888</v>
      </c>
      <c r="J301" s="1">
        <v>19788</v>
      </c>
      <c r="K301" s="1">
        <f t="shared" si="17"/>
        <v>973</v>
      </c>
      <c r="L301" s="1">
        <f t="shared" si="17"/>
        <v>1241</v>
      </c>
      <c r="M301" s="1">
        <f t="shared" si="17"/>
        <v>1649</v>
      </c>
      <c r="N301" t="str">
        <f t="shared" si="18"/>
        <v>NORMANDIE|50 - Manche|CC de Granville, Terre et Mer</v>
      </c>
      <c r="O301" t="str">
        <f t="shared" si="19"/>
        <v>Province</v>
      </c>
    </row>
    <row r="302" spans="1:15" x14ac:dyDescent="0.25">
      <c r="A302" t="s">
        <v>675</v>
      </c>
      <c r="B302" t="str">
        <f t="shared" si="16"/>
        <v>Orne</v>
      </c>
      <c r="C302" t="s">
        <v>715</v>
      </c>
      <c r="D302" t="s">
        <v>716</v>
      </c>
      <c r="E302" t="s">
        <v>717</v>
      </c>
      <c r="F302" t="s">
        <v>1093</v>
      </c>
      <c r="G302" t="s">
        <v>21</v>
      </c>
      <c r="H302" s="5">
        <v>9669</v>
      </c>
      <c r="I302" s="1">
        <v>13458</v>
      </c>
      <c r="J302" s="1">
        <v>18608</v>
      </c>
      <c r="K302" s="1">
        <f t="shared" si="17"/>
        <v>806</v>
      </c>
      <c r="L302" s="1">
        <f t="shared" si="17"/>
        <v>1122</v>
      </c>
      <c r="M302" s="1">
        <f t="shared" si="17"/>
        <v>1551</v>
      </c>
      <c r="N302" t="str">
        <f t="shared" si="18"/>
        <v>NORMANDIE|61 - Orne|CA Flers Agglo</v>
      </c>
      <c r="O302" t="str">
        <f t="shared" si="19"/>
        <v>Province</v>
      </c>
    </row>
    <row r="303" spans="1:15" x14ac:dyDescent="0.25">
      <c r="A303" t="s">
        <v>675</v>
      </c>
      <c r="B303" t="str">
        <f t="shared" si="16"/>
        <v>Orne</v>
      </c>
      <c r="C303" t="s">
        <v>715</v>
      </c>
      <c r="D303" t="s">
        <v>718</v>
      </c>
      <c r="E303" t="s">
        <v>719</v>
      </c>
      <c r="F303" t="s">
        <v>1093</v>
      </c>
      <c r="G303" t="s">
        <v>21</v>
      </c>
      <c r="H303" s="5">
        <v>8871</v>
      </c>
      <c r="I303" s="1">
        <v>12408</v>
      </c>
      <c r="J303" s="1">
        <v>17458</v>
      </c>
      <c r="K303" s="1">
        <f t="shared" si="17"/>
        <v>739</v>
      </c>
      <c r="L303" s="1">
        <f t="shared" si="17"/>
        <v>1034</v>
      </c>
      <c r="M303" s="1">
        <f t="shared" si="17"/>
        <v>1455</v>
      </c>
      <c r="N303" t="str">
        <f t="shared" si="18"/>
        <v>NORMANDIE|61 - Orne|CC des Pays de L'Aigle</v>
      </c>
      <c r="O303" t="str">
        <f t="shared" si="19"/>
        <v>Province</v>
      </c>
    </row>
    <row r="304" spans="1:15" x14ac:dyDescent="0.25">
      <c r="A304" t="s">
        <v>675</v>
      </c>
      <c r="B304" t="str">
        <f t="shared" si="16"/>
        <v>Orne</v>
      </c>
      <c r="C304" t="s">
        <v>715</v>
      </c>
      <c r="D304" t="s">
        <v>720</v>
      </c>
      <c r="E304" t="s">
        <v>721</v>
      </c>
      <c r="F304" t="s">
        <v>1093</v>
      </c>
      <c r="G304" t="s">
        <v>21</v>
      </c>
      <c r="H304" s="5">
        <v>8573</v>
      </c>
      <c r="I304" s="1">
        <v>12612</v>
      </c>
      <c r="J304" s="1">
        <v>18000</v>
      </c>
      <c r="K304" s="1">
        <f t="shared" si="17"/>
        <v>714</v>
      </c>
      <c r="L304" s="1">
        <f t="shared" si="17"/>
        <v>1051</v>
      </c>
      <c r="M304" s="1">
        <f t="shared" si="17"/>
        <v>1500</v>
      </c>
      <c r="N304" t="str">
        <f t="shared" si="18"/>
        <v>NORMANDIE|61 - Orne|CU d'Alençon</v>
      </c>
      <c r="O304" t="str">
        <f t="shared" si="19"/>
        <v>Province</v>
      </c>
    </row>
    <row r="305" spans="1:15" x14ac:dyDescent="0.25">
      <c r="A305" t="s">
        <v>675</v>
      </c>
      <c r="B305" t="str">
        <f t="shared" si="16"/>
        <v>Orne</v>
      </c>
      <c r="C305" t="s">
        <v>715</v>
      </c>
      <c r="D305" t="s">
        <v>722</v>
      </c>
      <c r="E305" t="s">
        <v>723</v>
      </c>
      <c r="F305" t="s">
        <v>1093</v>
      </c>
      <c r="G305" t="s">
        <v>21</v>
      </c>
      <c r="H305" s="5">
        <v>9914</v>
      </c>
      <c r="I305" s="1">
        <v>13330</v>
      </c>
      <c r="J305" s="1">
        <v>18392</v>
      </c>
      <c r="K305" s="1">
        <f t="shared" si="17"/>
        <v>826</v>
      </c>
      <c r="L305" s="1">
        <f t="shared" si="17"/>
        <v>1111</v>
      </c>
      <c r="M305" s="1">
        <f t="shared" si="17"/>
        <v>1533</v>
      </c>
      <c r="N305" t="str">
        <f t="shared" si="18"/>
        <v>NORMANDIE|61 - Orne|Terres d'Argentan Interco</v>
      </c>
      <c r="O305" t="str">
        <f t="shared" si="19"/>
        <v>Province</v>
      </c>
    </row>
    <row r="306" spans="1:15" x14ac:dyDescent="0.25">
      <c r="A306" t="s">
        <v>675</v>
      </c>
      <c r="B306" t="str">
        <f t="shared" si="16"/>
        <v>Seine-Maritime</v>
      </c>
      <c r="C306" t="s">
        <v>725</v>
      </c>
      <c r="D306" t="s">
        <v>726</v>
      </c>
      <c r="E306" t="s">
        <v>727</v>
      </c>
      <c r="F306" t="s">
        <v>1093</v>
      </c>
      <c r="G306" t="s">
        <v>21</v>
      </c>
      <c r="H306" s="5">
        <v>10400</v>
      </c>
      <c r="I306" s="1">
        <v>14409</v>
      </c>
      <c r="J306" s="1">
        <v>19875</v>
      </c>
      <c r="K306" s="1">
        <f t="shared" si="17"/>
        <v>867</v>
      </c>
      <c r="L306" s="1">
        <f t="shared" si="17"/>
        <v>1201</v>
      </c>
      <c r="M306" s="1">
        <f t="shared" si="17"/>
        <v>1656</v>
      </c>
      <c r="N306" t="str">
        <f t="shared" si="18"/>
        <v>NORMANDIE|76 - Seine-Maritime|CA Caux Seine Agglo</v>
      </c>
      <c r="O306" t="str">
        <f t="shared" si="19"/>
        <v>Province</v>
      </c>
    </row>
    <row r="307" spans="1:15" x14ac:dyDescent="0.25">
      <c r="A307" t="s">
        <v>675</v>
      </c>
      <c r="B307" t="str">
        <f t="shared" si="16"/>
        <v>Seine-Maritime</v>
      </c>
      <c r="C307" t="s">
        <v>725</v>
      </c>
      <c r="D307" t="s">
        <v>728</v>
      </c>
      <c r="E307" t="s">
        <v>729</v>
      </c>
      <c r="F307" t="s">
        <v>1093</v>
      </c>
      <c r="G307" t="s">
        <v>21</v>
      </c>
      <c r="H307" s="5">
        <v>10884</v>
      </c>
      <c r="I307" s="1">
        <v>14700</v>
      </c>
      <c r="J307" s="1">
        <v>20296</v>
      </c>
      <c r="K307" s="1">
        <f t="shared" si="17"/>
        <v>907</v>
      </c>
      <c r="L307" s="1">
        <f t="shared" si="17"/>
        <v>1225</v>
      </c>
      <c r="M307" s="1">
        <f t="shared" si="17"/>
        <v>1691</v>
      </c>
      <c r="N307" t="str">
        <f t="shared" si="18"/>
        <v>NORMANDIE|76 - Seine-Maritime|CA de la Région Dieppoise</v>
      </c>
      <c r="O307" t="str">
        <f t="shared" si="19"/>
        <v>Province</v>
      </c>
    </row>
    <row r="308" spans="1:15" x14ac:dyDescent="0.25">
      <c r="A308" t="s">
        <v>675</v>
      </c>
      <c r="B308" t="str">
        <f t="shared" si="16"/>
        <v>Seine-Maritime</v>
      </c>
      <c r="C308" t="s">
        <v>725</v>
      </c>
      <c r="D308" t="s">
        <v>730</v>
      </c>
      <c r="E308" t="s">
        <v>731</v>
      </c>
      <c r="F308" t="s">
        <v>1093</v>
      </c>
      <c r="G308" t="s">
        <v>21</v>
      </c>
      <c r="H308" s="5">
        <v>10791</v>
      </c>
      <c r="I308" s="1">
        <v>13777</v>
      </c>
      <c r="J308" s="1">
        <v>18981</v>
      </c>
      <c r="K308" s="1">
        <f t="shared" si="17"/>
        <v>899</v>
      </c>
      <c r="L308" s="1">
        <f t="shared" si="17"/>
        <v>1148</v>
      </c>
      <c r="M308" s="1">
        <f t="shared" si="17"/>
        <v>1582</v>
      </c>
      <c r="N308" t="str">
        <f t="shared" si="18"/>
        <v>NORMANDIE|76 - Seine-Maritime|CA Fécamp Caux Littoral Agglomération</v>
      </c>
      <c r="O308" t="str">
        <f t="shared" si="19"/>
        <v>Province</v>
      </c>
    </row>
    <row r="309" spans="1:15" x14ac:dyDescent="0.25">
      <c r="A309" t="s">
        <v>675</v>
      </c>
      <c r="B309" t="str">
        <f t="shared" si="16"/>
        <v>Seine-Maritime</v>
      </c>
      <c r="C309" t="s">
        <v>725</v>
      </c>
      <c r="D309" t="s">
        <v>732</v>
      </c>
      <c r="E309" t="s">
        <v>733</v>
      </c>
      <c r="F309" t="s">
        <v>1093</v>
      </c>
      <c r="G309" t="s">
        <v>21</v>
      </c>
      <c r="H309" s="5">
        <v>12192</v>
      </c>
      <c r="I309" s="1">
        <v>16800</v>
      </c>
      <c r="J309" s="1">
        <v>20961</v>
      </c>
      <c r="K309" s="1">
        <f t="shared" si="17"/>
        <v>1016</v>
      </c>
      <c r="L309" s="1">
        <f t="shared" si="17"/>
        <v>1400</v>
      </c>
      <c r="M309" s="1">
        <f t="shared" si="17"/>
        <v>1747</v>
      </c>
      <c r="N309" t="str">
        <f t="shared" si="18"/>
        <v>NORMANDIE|76 - Seine-Maritime|CC Caux - Austreberthe</v>
      </c>
      <c r="O309" t="str">
        <f t="shared" si="19"/>
        <v>Province</v>
      </c>
    </row>
    <row r="310" spans="1:15" x14ac:dyDescent="0.25">
      <c r="A310" t="s">
        <v>675</v>
      </c>
      <c r="B310" t="str">
        <f t="shared" si="16"/>
        <v>Seine-Maritime</v>
      </c>
      <c r="C310" t="s">
        <v>725</v>
      </c>
      <c r="D310" t="s">
        <v>734</v>
      </c>
      <c r="E310" t="s">
        <v>735</v>
      </c>
      <c r="F310" t="s">
        <v>1093</v>
      </c>
      <c r="G310" t="s">
        <v>21</v>
      </c>
      <c r="H310" s="5">
        <v>9967</v>
      </c>
      <c r="I310" s="1">
        <v>14400</v>
      </c>
      <c r="J310" s="1">
        <v>20084</v>
      </c>
      <c r="K310" s="1">
        <f t="shared" si="17"/>
        <v>831</v>
      </c>
      <c r="L310" s="1">
        <f t="shared" si="17"/>
        <v>1200</v>
      </c>
      <c r="M310" s="1">
        <f t="shared" si="17"/>
        <v>1674</v>
      </c>
      <c r="N310" t="str">
        <f t="shared" si="18"/>
        <v>NORMANDIE|76 - Seine-Maritime|Le Havre Seine Métropole</v>
      </c>
      <c r="O310" t="str">
        <f t="shared" si="19"/>
        <v>Province</v>
      </c>
    </row>
    <row r="311" spans="1:15" x14ac:dyDescent="0.25">
      <c r="A311" t="s">
        <v>675</v>
      </c>
      <c r="B311" t="str">
        <f t="shared" si="16"/>
        <v>Seine-Maritime</v>
      </c>
      <c r="C311" t="s">
        <v>725</v>
      </c>
      <c r="D311" t="s">
        <v>736</v>
      </c>
      <c r="E311" t="s">
        <v>737</v>
      </c>
      <c r="F311" t="s">
        <v>1093</v>
      </c>
      <c r="G311" t="s">
        <v>21</v>
      </c>
      <c r="H311" s="5">
        <v>9626</v>
      </c>
      <c r="I311" s="1">
        <v>13882</v>
      </c>
      <c r="J311" s="1">
        <v>19337</v>
      </c>
      <c r="K311" s="1">
        <f t="shared" si="17"/>
        <v>802</v>
      </c>
      <c r="L311" s="1">
        <f t="shared" si="17"/>
        <v>1157</v>
      </c>
      <c r="M311" s="1">
        <f t="shared" si="17"/>
        <v>1611</v>
      </c>
      <c r="N311" t="str">
        <f t="shared" si="18"/>
        <v>NORMANDIE|76 - Seine-Maritime|Métropole Rouen Normandie</v>
      </c>
      <c r="O311" t="str">
        <f t="shared" si="19"/>
        <v>Province</v>
      </c>
    </row>
    <row r="312" spans="1:15" x14ac:dyDescent="0.25">
      <c r="A312" t="s">
        <v>738</v>
      </c>
      <c r="B312" t="str">
        <f t="shared" si="16"/>
        <v>Charente</v>
      </c>
      <c r="C312" t="s">
        <v>740</v>
      </c>
      <c r="D312" t="s">
        <v>741</v>
      </c>
      <c r="E312" t="s">
        <v>742</v>
      </c>
      <c r="F312" t="s">
        <v>1093</v>
      </c>
      <c r="G312" t="s">
        <v>21</v>
      </c>
      <c r="H312" s="5">
        <v>9168</v>
      </c>
      <c r="I312" s="1">
        <v>12852</v>
      </c>
      <c r="J312" s="1">
        <v>18000</v>
      </c>
      <c r="K312" s="1">
        <f t="shared" si="17"/>
        <v>764</v>
      </c>
      <c r="L312" s="1">
        <f t="shared" si="17"/>
        <v>1071</v>
      </c>
      <c r="M312" s="1">
        <f t="shared" si="17"/>
        <v>1500</v>
      </c>
      <c r="N312" t="str">
        <f t="shared" si="18"/>
        <v>NOUVELLE-AQUITAINE|16 - Charente|CA du Grand Angoulême</v>
      </c>
      <c r="O312" t="str">
        <f t="shared" si="19"/>
        <v>Province</v>
      </c>
    </row>
    <row r="313" spans="1:15" x14ac:dyDescent="0.25">
      <c r="A313" t="s">
        <v>738</v>
      </c>
      <c r="B313" t="str">
        <f t="shared" si="16"/>
        <v>Charente</v>
      </c>
      <c r="C313" t="s">
        <v>740</v>
      </c>
      <c r="D313" t="s">
        <v>743</v>
      </c>
      <c r="E313" t="s">
        <v>744</v>
      </c>
      <c r="F313" t="s">
        <v>1093</v>
      </c>
      <c r="G313" t="s">
        <v>21</v>
      </c>
      <c r="H313" s="5">
        <v>9600</v>
      </c>
      <c r="I313" s="1">
        <v>13200</v>
      </c>
      <c r="J313" s="1">
        <v>18442</v>
      </c>
      <c r="K313" s="1">
        <f t="shared" si="17"/>
        <v>800</v>
      </c>
      <c r="L313" s="1">
        <f t="shared" si="17"/>
        <v>1100</v>
      </c>
      <c r="M313" s="1">
        <f t="shared" si="17"/>
        <v>1537</v>
      </c>
      <c r="N313" t="str">
        <f t="shared" si="18"/>
        <v>NOUVELLE-AQUITAINE|16 - Charente|CA du Grand Cognac</v>
      </c>
      <c r="O313" t="str">
        <f t="shared" si="19"/>
        <v>Province</v>
      </c>
    </row>
    <row r="314" spans="1:15" x14ac:dyDescent="0.25">
      <c r="A314" t="s">
        <v>738</v>
      </c>
      <c r="B314" t="str">
        <f t="shared" si="16"/>
        <v>Charente-Maritime</v>
      </c>
      <c r="C314" t="s">
        <v>746</v>
      </c>
      <c r="D314" t="s">
        <v>747</v>
      </c>
      <c r="E314" t="s">
        <v>748</v>
      </c>
      <c r="F314" t="s">
        <v>1093</v>
      </c>
      <c r="G314" t="s">
        <v>21</v>
      </c>
      <c r="H314" s="5">
        <v>11712</v>
      </c>
      <c r="I314" s="1">
        <v>15600</v>
      </c>
      <c r="J314" s="1">
        <v>20508</v>
      </c>
      <c r="K314" s="1">
        <f t="shared" si="17"/>
        <v>976</v>
      </c>
      <c r="L314" s="1">
        <f t="shared" si="17"/>
        <v>1300</v>
      </c>
      <c r="M314" s="1">
        <f t="shared" si="17"/>
        <v>1709</v>
      </c>
      <c r="N314" t="str">
        <f t="shared" si="18"/>
        <v>NOUVELLE-AQUITAINE|17 - Charente-Maritime|CA de La Rochelle</v>
      </c>
      <c r="O314" t="str">
        <f t="shared" si="19"/>
        <v>Province</v>
      </c>
    </row>
    <row r="315" spans="1:15" x14ac:dyDescent="0.25">
      <c r="A315" t="s">
        <v>738</v>
      </c>
      <c r="B315" t="str">
        <f t="shared" si="16"/>
        <v>Charente-Maritime</v>
      </c>
      <c r="C315" t="s">
        <v>746</v>
      </c>
      <c r="D315" t="s">
        <v>749</v>
      </c>
      <c r="E315" t="s">
        <v>750</v>
      </c>
      <c r="F315" t="s">
        <v>1093</v>
      </c>
      <c r="G315" t="s">
        <v>21</v>
      </c>
      <c r="H315" s="5">
        <v>10716</v>
      </c>
      <c r="I315" s="1">
        <v>13663</v>
      </c>
      <c r="J315" s="1">
        <v>18460</v>
      </c>
      <c r="K315" s="1">
        <f t="shared" si="17"/>
        <v>893</v>
      </c>
      <c r="L315" s="1">
        <f t="shared" si="17"/>
        <v>1139</v>
      </c>
      <c r="M315" s="1">
        <f t="shared" si="17"/>
        <v>1538</v>
      </c>
      <c r="N315" t="str">
        <f t="shared" si="18"/>
        <v>NOUVELLE-AQUITAINE|17 - Charente-Maritime|CA Rochefort Océan</v>
      </c>
      <c r="O315" t="str">
        <f t="shared" si="19"/>
        <v>Province</v>
      </c>
    </row>
    <row r="316" spans="1:15" x14ac:dyDescent="0.25">
      <c r="A316" t="s">
        <v>738</v>
      </c>
      <c r="B316" t="str">
        <f t="shared" si="16"/>
        <v>Charente-Maritime</v>
      </c>
      <c r="C316" t="s">
        <v>746</v>
      </c>
      <c r="D316" t="s">
        <v>751</v>
      </c>
      <c r="E316" t="s">
        <v>752</v>
      </c>
      <c r="F316" t="s">
        <v>1093</v>
      </c>
      <c r="G316" t="s">
        <v>21</v>
      </c>
      <c r="H316" s="5">
        <v>10960</v>
      </c>
      <c r="I316" s="1">
        <v>14130</v>
      </c>
      <c r="J316" s="1">
        <v>19029</v>
      </c>
      <c r="K316" s="1">
        <f t="shared" si="17"/>
        <v>913</v>
      </c>
      <c r="L316" s="1">
        <f t="shared" si="17"/>
        <v>1178</v>
      </c>
      <c r="M316" s="1">
        <f t="shared" si="17"/>
        <v>1586</v>
      </c>
      <c r="N316" t="str">
        <f t="shared" si="18"/>
        <v>NOUVELLE-AQUITAINE|17 - Charente-Maritime|CA Royan Atlantique</v>
      </c>
      <c r="O316" t="str">
        <f t="shared" si="19"/>
        <v>Province</v>
      </c>
    </row>
    <row r="317" spans="1:15" x14ac:dyDescent="0.25">
      <c r="A317" t="s">
        <v>738</v>
      </c>
      <c r="B317" t="str">
        <f t="shared" si="16"/>
        <v>Charente-Maritime</v>
      </c>
      <c r="C317" t="s">
        <v>746</v>
      </c>
      <c r="D317" t="s">
        <v>1090</v>
      </c>
      <c r="E317" t="s">
        <v>754</v>
      </c>
      <c r="F317" t="s">
        <v>1093</v>
      </c>
      <c r="G317" t="s">
        <v>21</v>
      </c>
      <c r="H317" s="5">
        <v>9984</v>
      </c>
      <c r="I317" s="1">
        <v>12996</v>
      </c>
      <c r="J317" s="1">
        <v>17561</v>
      </c>
      <c r="K317" s="1">
        <f t="shared" si="17"/>
        <v>832</v>
      </c>
      <c r="L317" s="1">
        <f t="shared" si="17"/>
        <v>1083</v>
      </c>
      <c r="M317" s="1">
        <f t="shared" si="17"/>
        <v>1463</v>
      </c>
      <c r="N317" t="str">
        <f t="shared" si="18"/>
        <v>NOUVELLE-AQUITAINE|17 - Charente-Maritime|CA "Saintes - Grandes Rives - L'Agglo"</v>
      </c>
      <c r="O317" t="str">
        <f t="shared" si="19"/>
        <v>Province</v>
      </c>
    </row>
    <row r="318" spans="1:15" x14ac:dyDescent="0.25">
      <c r="A318" t="s">
        <v>738</v>
      </c>
      <c r="B318" t="str">
        <f t="shared" si="16"/>
        <v>Corrèze</v>
      </c>
      <c r="C318" t="s">
        <v>756</v>
      </c>
      <c r="D318" t="s">
        <v>757</v>
      </c>
      <c r="E318" t="s">
        <v>758</v>
      </c>
      <c r="F318" t="s">
        <v>1093</v>
      </c>
      <c r="G318" t="s">
        <v>21</v>
      </c>
      <c r="H318" s="5">
        <v>9880</v>
      </c>
      <c r="I318" s="1">
        <v>13570</v>
      </c>
      <c r="J318" s="1">
        <v>18286</v>
      </c>
      <c r="K318" s="1">
        <f t="shared" si="17"/>
        <v>823</v>
      </c>
      <c r="L318" s="1">
        <f t="shared" si="17"/>
        <v>1131</v>
      </c>
      <c r="M318" s="1">
        <f t="shared" si="17"/>
        <v>1524</v>
      </c>
      <c r="N318" t="str">
        <f t="shared" si="18"/>
        <v>NOUVELLE-AQUITAINE|19 - Corrèze|CA du Bassin de Brive</v>
      </c>
      <c r="O318" t="str">
        <f t="shared" si="19"/>
        <v>Province</v>
      </c>
    </row>
    <row r="319" spans="1:15" x14ac:dyDescent="0.25">
      <c r="A319" t="s">
        <v>738</v>
      </c>
      <c r="B319" t="str">
        <f t="shared" si="16"/>
        <v>Corrèze</v>
      </c>
      <c r="C319" t="s">
        <v>756</v>
      </c>
      <c r="D319" t="s">
        <v>759</v>
      </c>
      <c r="E319" t="s">
        <v>760</v>
      </c>
      <c r="F319" t="s">
        <v>1093</v>
      </c>
      <c r="G319" t="s">
        <v>21</v>
      </c>
      <c r="H319" s="5">
        <v>8492</v>
      </c>
      <c r="I319" s="1">
        <v>12396</v>
      </c>
      <c r="J319" s="1">
        <v>17250</v>
      </c>
      <c r="K319" s="1">
        <f t="shared" si="17"/>
        <v>708</v>
      </c>
      <c r="L319" s="1">
        <f t="shared" si="17"/>
        <v>1033</v>
      </c>
      <c r="M319" s="1">
        <f t="shared" si="17"/>
        <v>1438</v>
      </c>
      <c r="N319" t="str">
        <f t="shared" si="18"/>
        <v>NOUVELLE-AQUITAINE|19 - Corrèze|CA Tulle Agglo</v>
      </c>
      <c r="O319" t="str">
        <f t="shared" si="19"/>
        <v>Province</v>
      </c>
    </row>
    <row r="320" spans="1:15" x14ac:dyDescent="0.25">
      <c r="A320" t="s">
        <v>738</v>
      </c>
      <c r="B320" t="str">
        <f t="shared" si="16"/>
        <v>Creuse</v>
      </c>
      <c r="C320" t="s">
        <v>762</v>
      </c>
      <c r="D320" t="s">
        <v>763</v>
      </c>
      <c r="E320" t="s">
        <v>764</v>
      </c>
      <c r="F320" t="s">
        <v>1093</v>
      </c>
      <c r="G320" t="s">
        <v>21</v>
      </c>
      <c r="H320" s="5">
        <v>8220</v>
      </c>
      <c r="I320" s="1">
        <v>12192</v>
      </c>
      <c r="J320" s="1">
        <v>16008</v>
      </c>
      <c r="K320" s="1">
        <f t="shared" si="17"/>
        <v>685</v>
      </c>
      <c r="L320" s="1">
        <f t="shared" si="17"/>
        <v>1016</v>
      </c>
      <c r="M320" s="1">
        <f t="shared" si="17"/>
        <v>1334</v>
      </c>
      <c r="N320" t="str">
        <f t="shared" si="18"/>
        <v>NOUVELLE-AQUITAINE|23 - Creuse|CA du Grand Guéret</v>
      </c>
      <c r="O320" t="str">
        <f t="shared" si="19"/>
        <v>Province</v>
      </c>
    </row>
    <row r="321" spans="1:15" x14ac:dyDescent="0.25">
      <c r="A321" t="s">
        <v>738</v>
      </c>
      <c r="B321" t="str">
        <f t="shared" si="16"/>
        <v>Dordogne</v>
      </c>
      <c r="C321" t="s">
        <v>766</v>
      </c>
      <c r="D321" t="s">
        <v>767</v>
      </c>
      <c r="E321" t="s">
        <v>768</v>
      </c>
      <c r="F321" t="s">
        <v>1093</v>
      </c>
      <c r="G321" t="s">
        <v>21</v>
      </c>
      <c r="H321" s="5">
        <v>8856</v>
      </c>
      <c r="I321" s="1">
        <v>12696</v>
      </c>
      <c r="J321" s="1">
        <v>17496</v>
      </c>
      <c r="K321" s="1">
        <f t="shared" si="17"/>
        <v>738</v>
      </c>
      <c r="L321" s="1">
        <f t="shared" si="17"/>
        <v>1058</v>
      </c>
      <c r="M321" s="1">
        <f t="shared" si="17"/>
        <v>1458</v>
      </c>
      <c r="N321" t="str">
        <f t="shared" si="18"/>
        <v>NOUVELLE-AQUITAINE|24 - Dordogne|CA Bergeracoise</v>
      </c>
      <c r="O321" t="str">
        <f t="shared" si="19"/>
        <v>Province</v>
      </c>
    </row>
    <row r="322" spans="1:15" x14ac:dyDescent="0.25">
      <c r="A322" t="s">
        <v>738</v>
      </c>
      <c r="B322" t="str">
        <f t="shared" ref="B322:B385" si="20">MID(C322,6,LEN(C322))</f>
        <v>Dordogne</v>
      </c>
      <c r="C322" t="s">
        <v>766</v>
      </c>
      <c r="D322" t="s">
        <v>769</v>
      </c>
      <c r="E322" t="s">
        <v>770</v>
      </c>
      <c r="F322" t="s">
        <v>1093</v>
      </c>
      <c r="G322" t="s">
        <v>21</v>
      </c>
      <c r="H322" s="5">
        <v>9000</v>
      </c>
      <c r="I322" s="1">
        <v>12792</v>
      </c>
      <c r="J322" s="1">
        <v>18000</v>
      </c>
      <c r="K322" s="1">
        <f t="shared" ref="K322:M385" si="21">ROUND(H322/12,0)</f>
        <v>750</v>
      </c>
      <c r="L322" s="1">
        <f t="shared" si="21"/>
        <v>1066</v>
      </c>
      <c r="M322" s="1">
        <f t="shared" si="21"/>
        <v>1500</v>
      </c>
      <c r="N322" t="str">
        <f t="shared" ref="N322:N385" si="22">SUBSTITUTE(
   UPPER(SUBSTITUTE(TRIM(A322), CHAR(160), " ")) &amp; "|" &amp;
   SUBSTITUTE(TRIM(C322), CHAR(160), " ") &amp; "|" &amp;
   SUBSTITUTE(TRIM(D322), CHAR(160), " "),
   "–", "-"
)</f>
        <v>NOUVELLE-AQUITAINE|24 - Dordogne|CA Le Grand Périgueux</v>
      </c>
      <c r="O322" t="str">
        <f t="shared" ref="O322:O385" si="23">IF(A322="Hauts-de-France", "HDF",
IF(A322="Île-de-France", "IDF",
IF(OR(A322="Guadeloupe", A322="Martinique", A322="Guyane", A322="La Réunion", A322="Mayotte"), "OM", "Province")))</f>
        <v>Province</v>
      </c>
    </row>
    <row r="323" spans="1:15" x14ac:dyDescent="0.25">
      <c r="A323" t="s">
        <v>738</v>
      </c>
      <c r="B323" t="str">
        <f t="shared" si="20"/>
        <v>Dordogne</v>
      </c>
      <c r="C323" t="s">
        <v>766</v>
      </c>
      <c r="D323" t="s">
        <v>771</v>
      </c>
      <c r="E323" t="s">
        <v>772</v>
      </c>
      <c r="F323" t="s">
        <v>1093</v>
      </c>
      <c r="G323" t="s">
        <v>21</v>
      </c>
      <c r="H323" s="5">
        <v>8033</v>
      </c>
      <c r="I323" s="1">
        <v>11715</v>
      </c>
      <c r="J323" s="1">
        <v>15859</v>
      </c>
      <c r="K323" s="1">
        <f t="shared" si="21"/>
        <v>669</v>
      </c>
      <c r="L323" s="1">
        <f t="shared" si="21"/>
        <v>976</v>
      </c>
      <c r="M323" s="1">
        <f t="shared" si="21"/>
        <v>1322</v>
      </c>
      <c r="N323" t="str">
        <f t="shared" si="22"/>
        <v>NOUVELLE-AQUITAINE|24 - Dordogne|CC du Pays Foyen</v>
      </c>
      <c r="O323" t="str">
        <f t="shared" si="23"/>
        <v>Province</v>
      </c>
    </row>
    <row r="324" spans="1:15" x14ac:dyDescent="0.25">
      <c r="A324" t="s">
        <v>738</v>
      </c>
      <c r="B324" t="str">
        <f t="shared" si="20"/>
        <v>Gironde</v>
      </c>
      <c r="C324" t="s">
        <v>774</v>
      </c>
      <c r="D324" t="s">
        <v>775</v>
      </c>
      <c r="E324" t="s">
        <v>776</v>
      </c>
      <c r="F324" t="s">
        <v>1093</v>
      </c>
      <c r="G324" t="s">
        <v>21</v>
      </c>
      <c r="H324" s="5">
        <v>11100</v>
      </c>
      <c r="I324" s="1">
        <v>15840</v>
      </c>
      <c r="J324" s="1">
        <v>21060</v>
      </c>
      <c r="K324" s="1">
        <f t="shared" si="21"/>
        <v>925</v>
      </c>
      <c r="L324" s="1">
        <f t="shared" si="21"/>
        <v>1320</v>
      </c>
      <c r="M324" s="1">
        <f t="shared" si="21"/>
        <v>1755</v>
      </c>
      <c r="N324" t="str">
        <f t="shared" si="22"/>
        <v>NOUVELLE-AQUITAINE|33 - Gironde|Bordeaux Métropole</v>
      </c>
      <c r="O324" t="str">
        <f t="shared" si="23"/>
        <v>Province</v>
      </c>
    </row>
    <row r="325" spans="1:15" x14ac:dyDescent="0.25">
      <c r="A325" t="s">
        <v>738</v>
      </c>
      <c r="B325" t="str">
        <f t="shared" si="20"/>
        <v>Gironde</v>
      </c>
      <c r="C325" t="s">
        <v>774</v>
      </c>
      <c r="D325" t="s">
        <v>777</v>
      </c>
      <c r="E325" t="s">
        <v>778</v>
      </c>
      <c r="F325" t="s">
        <v>1093</v>
      </c>
      <c r="G325" t="s">
        <v>21</v>
      </c>
      <c r="H325" s="5">
        <v>12136</v>
      </c>
      <c r="I325" s="1">
        <v>16704</v>
      </c>
      <c r="J325" s="1">
        <v>21042</v>
      </c>
      <c r="K325" s="1">
        <f t="shared" si="21"/>
        <v>1011</v>
      </c>
      <c r="L325" s="1">
        <f t="shared" si="21"/>
        <v>1392</v>
      </c>
      <c r="M325" s="1">
        <f t="shared" si="21"/>
        <v>1754</v>
      </c>
      <c r="N325" t="str">
        <f t="shared" si="22"/>
        <v>NOUVELLE-AQUITAINE|33 - Gironde|CA Bassin d'Arcachon Sud (COBAS)</v>
      </c>
      <c r="O325" t="str">
        <f t="shared" si="23"/>
        <v>Province</v>
      </c>
    </row>
    <row r="326" spans="1:15" x14ac:dyDescent="0.25">
      <c r="A326" t="s">
        <v>738</v>
      </c>
      <c r="B326" t="str">
        <f t="shared" si="20"/>
        <v>Gironde</v>
      </c>
      <c r="C326" t="s">
        <v>774</v>
      </c>
      <c r="D326" t="s">
        <v>779</v>
      </c>
      <c r="E326" t="s">
        <v>780</v>
      </c>
      <c r="F326" t="s">
        <v>1093</v>
      </c>
      <c r="G326" t="s">
        <v>21</v>
      </c>
      <c r="H326" s="5">
        <v>12300</v>
      </c>
      <c r="I326" s="1">
        <v>16860</v>
      </c>
      <c r="J326" s="1">
        <v>21024</v>
      </c>
      <c r="K326" s="1">
        <f t="shared" si="21"/>
        <v>1025</v>
      </c>
      <c r="L326" s="1">
        <f t="shared" si="21"/>
        <v>1405</v>
      </c>
      <c r="M326" s="1">
        <f t="shared" si="21"/>
        <v>1752</v>
      </c>
      <c r="N326" t="str">
        <f t="shared" si="22"/>
        <v>NOUVELLE-AQUITAINE|33 - Gironde|CA du Bassin d'Arcachon Nord (COBAN)</v>
      </c>
      <c r="O326" t="str">
        <f t="shared" si="23"/>
        <v>Province</v>
      </c>
    </row>
    <row r="327" spans="1:15" x14ac:dyDescent="0.25">
      <c r="A327" t="s">
        <v>738</v>
      </c>
      <c r="B327" t="str">
        <f t="shared" si="20"/>
        <v>Gironde</v>
      </c>
      <c r="C327" t="s">
        <v>774</v>
      </c>
      <c r="D327" t="s">
        <v>781</v>
      </c>
      <c r="E327" t="s">
        <v>782</v>
      </c>
      <c r="F327" t="s">
        <v>1093</v>
      </c>
      <c r="G327" t="s">
        <v>21</v>
      </c>
      <c r="H327" s="5">
        <v>9132</v>
      </c>
      <c r="I327" s="1">
        <v>13221</v>
      </c>
      <c r="J327" s="1">
        <v>18208</v>
      </c>
      <c r="K327" s="1">
        <f t="shared" si="21"/>
        <v>761</v>
      </c>
      <c r="L327" s="1">
        <f t="shared" si="21"/>
        <v>1102</v>
      </c>
      <c r="M327" s="1">
        <f t="shared" si="21"/>
        <v>1517</v>
      </c>
      <c r="N327" t="str">
        <f t="shared" si="22"/>
        <v>NOUVELLE-AQUITAINE|33 - Gironde|CA du Libournais</v>
      </c>
      <c r="O327" t="str">
        <f t="shared" si="23"/>
        <v>Province</v>
      </c>
    </row>
    <row r="328" spans="1:15" x14ac:dyDescent="0.25">
      <c r="A328" t="s">
        <v>738</v>
      </c>
      <c r="B328" t="str">
        <f t="shared" si="20"/>
        <v>Gironde</v>
      </c>
      <c r="C328" t="s">
        <v>774</v>
      </c>
      <c r="D328" t="s">
        <v>783</v>
      </c>
      <c r="E328" t="s">
        <v>784</v>
      </c>
      <c r="F328" t="s">
        <v>1093</v>
      </c>
      <c r="G328" t="s">
        <v>21</v>
      </c>
      <c r="H328" s="5">
        <v>12192</v>
      </c>
      <c r="I328" s="1">
        <v>17235</v>
      </c>
      <c r="J328" s="1">
        <v>21754</v>
      </c>
      <c r="K328" s="1">
        <f t="shared" si="21"/>
        <v>1016</v>
      </c>
      <c r="L328" s="1">
        <f t="shared" si="21"/>
        <v>1436</v>
      </c>
      <c r="M328" s="1">
        <f t="shared" si="21"/>
        <v>1813</v>
      </c>
      <c r="N328" t="str">
        <f t="shared" si="22"/>
        <v>NOUVELLE-AQUITAINE|33 - Gironde|CC de Montesquieu</v>
      </c>
      <c r="O328" t="str">
        <f t="shared" si="23"/>
        <v>Province</v>
      </c>
    </row>
    <row r="329" spans="1:15" x14ac:dyDescent="0.25">
      <c r="A329" t="s">
        <v>738</v>
      </c>
      <c r="B329" t="str">
        <f t="shared" si="20"/>
        <v>Gironde</v>
      </c>
      <c r="C329" t="s">
        <v>774</v>
      </c>
      <c r="D329" t="s">
        <v>785</v>
      </c>
      <c r="E329" t="s">
        <v>786</v>
      </c>
      <c r="F329" t="s">
        <v>1093</v>
      </c>
      <c r="G329" t="s">
        <v>21</v>
      </c>
      <c r="H329" s="5">
        <v>10664</v>
      </c>
      <c r="I329" s="1">
        <v>14538</v>
      </c>
      <c r="J329" s="1">
        <v>19108</v>
      </c>
      <c r="K329" s="1">
        <f t="shared" si="21"/>
        <v>889</v>
      </c>
      <c r="L329" s="1">
        <f t="shared" si="21"/>
        <v>1212</v>
      </c>
      <c r="M329" s="1">
        <f t="shared" si="21"/>
        <v>1592</v>
      </c>
      <c r="N329" t="str">
        <f t="shared" si="22"/>
        <v>NOUVELLE-AQUITAINE|33 - Gironde|CC du Grand Cubzaguais</v>
      </c>
      <c r="O329" t="str">
        <f t="shared" si="23"/>
        <v>Province</v>
      </c>
    </row>
    <row r="330" spans="1:15" x14ac:dyDescent="0.25">
      <c r="A330" t="s">
        <v>738</v>
      </c>
      <c r="B330" t="str">
        <f t="shared" si="20"/>
        <v>Gironde</v>
      </c>
      <c r="C330" t="s">
        <v>774</v>
      </c>
      <c r="D330" t="s">
        <v>771</v>
      </c>
      <c r="E330" t="s">
        <v>772</v>
      </c>
      <c r="F330" t="s">
        <v>1093</v>
      </c>
      <c r="G330" t="s">
        <v>21</v>
      </c>
      <c r="H330" s="5">
        <v>8033</v>
      </c>
      <c r="I330" s="1">
        <v>11715</v>
      </c>
      <c r="J330" s="1">
        <v>15859</v>
      </c>
      <c r="K330" s="1">
        <f t="shared" si="21"/>
        <v>669</v>
      </c>
      <c r="L330" s="1">
        <f t="shared" si="21"/>
        <v>976</v>
      </c>
      <c r="M330" s="1">
        <f t="shared" si="21"/>
        <v>1322</v>
      </c>
      <c r="N330" t="str">
        <f t="shared" si="22"/>
        <v>NOUVELLE-AQUITAINE|33 - Gironde|CC du Pays Foyen</v>
      </c>
      <c r="O330" t="str">
        <f t="shared" si="23"/>
        <v>Province</v>
      </c>
    </row>
    <row r="331" spans="1:15" x14ac:dyDescent="0.25">
      <c r="A331" t="s">
        <v>738</v>
      </c>
      <c r="B331" t="str">
        <f t="shared" si="20"/>
        <v>Gironde</v>
      </c>
      <c r="C331" t="s">
        <v>774</v>
      </c>
      <c r="D331" t="s">
        <v>787</v>
      </c>
      <c r="E331" t="s">
        <v>788</v>
      </c>
      <c r="F331" t="s">
        <v>1093</v>
      </c>
      <c r="G331" t="s">
        <v>21</v>
      </c>
      <c r="H331" s="5">
        <v>13491</v>
      </c>
      <c r="I331" s="1">
        <v>18341</v>
      </c>
      <c r="J331" s="1">
        <v>22203</v>
      </c>
      <c r="K331" s="1">
        <f t="shared" si="21"/>
        <v>1124</v>
      </c>
      <c r="L331" s="1">
        <f t="shared" si="21"/>
        <v>1528</v>
      </c>
      <c r="M331" s="1">
        <f t="shared" si="21"/>
        <v>1850</v>
      </c>
      <c r="N331" t="str">
        <f t="shared" si="22"/>
        <v>NOUVELLE-AQUITAINE|33 - Gironde|CC Jalle-Eau-Bourde</v>
      </c>
      <c r="O331" t="str">
        <f t="shared" si="23"/>
        <v>Province</v>
      </c>
    </row>
    <row r="332" spans="1:15" x14ac:dyDescent="0.25">
      <c r="A332" t="s">
        <v>738</v>
      </c>
      <c r="B332" t="str">
        <f t="shared" si="20"/>
        <v>Landes</v>
      </c>
      <c r="C332" t="s">
        <v>790</v>
      </c>
      <c r="D332" t="s">
        <v>791</v>
      </c>
      <c r="E332" t="s">
        <v>792</v>
      </c>
      <c r="F332" t="s">
        <v>1093</v>
      </c>
      <c r="G332" t="s">
        <v>21</v>
      </c>
      <c r="H332" s="5">
        <v>10248</v>
      </c>
      <c r="I332" s="1">
        <v>13805</v>
      </c>
      <c r="J332" s="1">
        <v>18651</v>
      </c>
      <c r="K332" s="1">
        <f t="shared" si="21"/>
        <v>854</v>
      </c>
      <c r="L332" s="1">
        <f t="shared" si="21"/>
        <v>1150</v>
      </c>
      <c r="M332" s="1">
        <f t="shared" si="21"/>
        <v>1554</v>
      </c>
      <c r="N332" t="str">
        <f t="shared" si="22"/>
        <v>NOUVELLE-AQUITAINE|40 - Landes|CA du Grand Dax</v>
      </c>
      <c r="O332" t="str">
        <f t="shared" si="23"/>
        <v>Province</v>
      </c>
    </row>
    <row r="333" spans="1:15" x14ac:dyDescent="0.25">
      <c r="A333" t="s">
        <v>738</v>
      </c>
      <c r="B333" t="str">
        <f t="shared" si="20"/>
        <v>Landes</v>
      </c>
      <c r="C333" t="s">
        <v>790</v>
      </c>
      <c r="D333" t="s">
        <v>793</v>
      </c>
      <c r="E333" t="s">
        <v>794</v>
      </c>
      <c r="F333" t="s">
        <v>1093</v>
      </c>
      <c r="G333" t="s">
        <v>21</v>
      </c>
      <c r="H333" s="5">
        <v>9676</v>
      </c>
      <c r="I333" s="1">
        <v>13344</v>
      </c>
      <c r="J333" s="1">
        <v>18203</v>
      </c>
      <c r="K333" s="1">
        <f t="shared" si="21"/>
        <v>806</v>
      </c>
      <c r="L333" s="1">
        <f t="shared" si="21"/>
        <v>1112</v>
      </c>
      <c r="M333" s="1">
        <f t="shared" si="21"/>
        <v>1517</v>
      </c>
      <c r="N333" t="str">
        <f t="shared" si="22"/>
        <v>NOUVELLE-AQUITAINE|40 - Landes|CA Mont de Marsan Agglomération</v>
      </c>
      <c r="O333" t="str">
        <f t="shared" si="23"/>
        <v>Province</v>
      </c>
    </row>
    <row r="334" spans="1:15" x14ac:dyDescent="0.25">
      <c r="A334" t="s">
        <v>738</v>
      </c>
      <c r="B334" t="str">
        <f t="shared" si="20"/>
        <v>Landes</v>
      </c>
      <c r="C334" t="s">
        <v>790</v>
      </c>
      <c r="D334" t="s">
        <v>795</v>
      </c>
      <c r="E334" t="s">
        <v>796</v>
      </c>
      <c r="F334" t="s">
        <v>1093</v>
      </c>
      <c r="G334" t="s">
        <v>21</v>
      </c>
      <c r="H334" s="5">
        <v>10640</v>
      </c>
      <c r="I334" s="1">
        <v>14532</v>
      </c>
      <c r="J334" s="1">
        <v>18960</v>
      </c>
      <c r="K334" s="1">
        <f t="shared" si="21"/>
        <v>887</v>
      </c>
      <c r="L334" s="1">
        <f t="shared" si="21"/>
        <v>1211</v>
      </c>
      <c r="M334" s="1">
        <f t="shared" si="21"/>
        <v>1580</v>
      </c>
      <c r="N334" t="str">
        <f t="shared" si="22"/>
        <v>NOUVELLE-AQUITAINE|40 - Landes|CC des Grands Lacs</v>
      </c>
      <c r="O334" t="str">
        <f t="shared" si="23"/>
        <v>Province</v>
      </c>
    </row>
    <row r="335" spans="1:15" x14ac:dyDescent="0.25">
      <c r="A335" t="s">
        <v>738</v>
      </c>
      <c r="B335" t="str">
        <f t="shared" si="20"/>
        <v>Landes</v>
      </c>
      <c r="C335" t="s">
        <v>790</v>
      </c>
      <c r="D335" t="s">
        <v>1096</v>
      </c>
      <c r="E335" t="s">
        <v>1097</v>
      </c>
      <c r="F335" t="s">
        <v>1093</v>
      </c>
      <c r="G335" t="s">
        <v>21</v>
      </c>
      <c r="H335" s="5">
        <v>12000</v>
      </c>
      <c r="I335" s="1">
        <v>16129</v>
      </c>
      <c r="J335" s="1">
        <v>20748</v>
      </c>
      <c r="K335" s="1">
        <f t="shared" si="21"/>
        <v>1000</v>
      </c>
      <c r="L335" s="1">
        <f t="shared" si="21"/>
        <v>1344</v>
      </c>
      <c r="M335" s="1">
        <f t="shared" si="21"/>
        <v>1729</v>
      </c>
      <c r="N335" t="str">
        <f t="shared" si="22"/>
        <v>NOUVELLE-AQUITAINE|40 - Landes|CC du Seignanx</v>
      </c>
      <c r="O335" t="str">
        <f t="shared" si="23"/>
        <v>Province</v>
      </c>
    </row>
    <row r="336" spans="1:15" x14ac:dyDescent="0.25">
      <c r="A336" t="s">
        <v>738</v>
      </c>
      <c r="B336" t="str">
        <f t="shared" si="20"/>
        <v>Lot-et-Garonne</v>
      </c>
      <c r="C336" t="s">
        <v>798</v>
      </c>
      <c r="D336" t="s">
        <v>799</v>
      </c>
      <c r="E336" t="s">
        <v>800</v>
      </c>
      <c r="F336" t="s">
        <v>1093</v>
      </c>
      <c r="G336" t="s">
        <v>21</v>
      </c>
      <c r="H336" s="5">
        <v>9431</v>
      </c>
      <c r="I336" s="1">
        <v>13248</v>
      </c>
      <c r="J336" s="1">
        <v>18434</v>
      </c>
      <c r="K336" s="1">
        <f t="shared" si="21"/>
        <v>786</v>
      </c>
      <c r="L336" s="1">
        <f t="shared" si="21"/>
        <v>1104</v>
      </c>
      <c r="M336" s="1">
        <f t="shared" si="21"/>
        <v>1536</v>
      </c>
      <c r="N336" t="str">
        <f t="shared" si="22"/>
        <v>NOUVELLE-AQUITAINE|47 - Lot-et-Garonne|CA Agglomération d'Agen</v>
      </c>
      <c r="O336" t="str">
        <f t="shared" si="23"/>
        <v>Province</v>
      </c>
    </row>
    <row r="337" spans="1:15" x14ac:dyDescent="0.25">
      <c r="A337" t="s">
        <v>738</v>
      </c>
      <c r="B337" t="str">
        <f t="shared" si="20"/>
        <v>Lot-et-Garonne</v>
      </c>
      <c r="C337" t="s">
        <v>798</v>
      </c>
      <c r="D337" t="s">
        <v>801</v>
      </c>
      <c r="E337" t="s">
        <v>802</v>
      </c>
      <c r="F337" t="s">
        <v>1093</v>
      </c>
      <c r="G337" t="s">
        <v>21</v>
      </c>
      <c r="H337" s="5">
        <v>7933</v>
      </c>
      <c r="I337" s="1">
        <v>12110</v>
      </c>
      <c r="J337" s="1">
        <v>16037</v>
      </c>
      <c r="K337" s="1">
        <f t="shared" si="21"/>
        <v>661</v>
      </c>
      <c r="L337" s="1">
        <f t="shared" si="21"/>
        <v>1009</v>
      </c>
      <c r="M337" s="1">
        <f t="shared" si="21"/>
        <v>1336</v>
      </c>
      <c r="N337" t="str">
        <f t="shared" si="22"/>
        <v>NOUVELLE-AQUITAINE|47 - Lot-et-Garonne|CA du Grand Villeneuvois</v>
      </c>
      <c r="O337" t="str">
        <f t="shared" si="23"/>
        <v>Province</v>
      </c>
    </row>
    <row r="338" spans="1:15" x14ac:dyDescent="0.25">
      <c r="A338" t="s">
        <v>738</v>
      </c>
      <c r="B338" t="str">
        <f t="shared" si="20"/>
        <v>Lot-et-Garonne</v>
      </c>
      <c r="C338" t="s">
        <v>798</v>
      </c>
      <c r="D338" t="s">
        <v>803</v>
      </c>
      <c r="E338" t="s">
        <v>804</v>
      </c>
      <c r="F338" t="s">
        <v>1093</v>
      </c>
      <c r="G338" t="s">
        <v>21</v>
      </c>
      <c r="H338" s="5">
        <v>8322</v>
      </c>
      <c r="I338" s="1">
        <v>12192</v>
      </c>
      <c r="J338" s="1">
        <v>16154</v>
      </c>
      <c r="K338" s="1">
        <f t="shared" si="21"/>
        <v>694</v>
      </c>
      <c r="L338" s="1">
        <f t="shared" si="21"/>
        <v>1016</v>
      </c>
      <c r="M338" s="1">
        <f t="shared" si="21"/>
        <v>1346</v>
      </c>
      <c r="N338" t="str">
        <f t="shared" si="22"/>
        <v>NOUVELLE-AQUITAINE|47 - Lot-et-Garonne|CA Val de Garonne Agglomération</v>
      </c>
      <c r="O338" t="str">
        <f t="shared" si="23"/>
        <v>Province</v>
      </c>
    </row>
    <row r="339" spans="1:15" x14ac:dyDescent="0.25">
      <c r="A339" t="s">
        <v>738</v>
      </c>
      <c r="B339" t="str">
        <f t="shared" si="20"/>
        <v>Pyrénées-Atlantiques</v>
      </c>
      <c r="C339" t="s">
        <v>806</v>
      </c>
      <c r="D339" t="s">
        <v>807</v>
      </c>
      <c r="E339" t="s">
        <v>808</v>
      </c>
      <c r="F339" t="s">
        <v>1093</v>
      </c>
      <c r="G339" t="s">
        <v>21</v>
      </c>
      <c r="H339" s="5">
        <v>11728</v>
      </c>
      <c r="I339" s="1">
        <v>15828</v>
      </c>
      <c r="J339" s="1">
        <v>20736</v>
      </c>
      <c r="K339" s="1">
        <f t="shared" si="21"/>
        <v>977</v>
      </c>
      <c r="L339" s="1">
        <f t="shared" si="21"/>
        <v>1319</v>
      </c>
      <c r="M339" s="1">
        <f t="shared" si="21"/>
        <v>1728</v>
      </c>
      <c r="N339" t="str">
        <f t="shared" si="22"/>
        <v>NOUVELLE-AQUITAINE|64 - Pyrénées-Atlantiques|CA du Pays Basque</v>
      </c>
      <c r="O339" t="str">
        <f t="shared" si="23"/>
        <v>Province</v>
      </c>
    </row>
    <row r="340" spans="1:15" x14ac:dyDescent="0.25">
      <c r="A340" t="s">
        <v>738</v>
      </c>
      <c r="B340" t="str">
        <f t="shared" si="20"/>
        <v>Pyrénées-Atlantiques</v>
      </c>
      <c r="C340" t="s">
        <v>806</v>
      </c>
      <c r="D340" t="s">
        <v>809</v>
      </c>
      <c r="E340" t="s">
        <v>810</v>
      </c>
      <c r="F340" t="s">
        <v>1093</v>
      </c>
      <c r="G340" t="s">
        <v>21</v>
      </c>
      <c r="H340" s="5">
        <v>9607</v>
      </c>
      <c r="I340" s="1">
        <v>13480</v>
      </c>
      <c r="J340" s="1">
        <v>18496</v>
      </c>
      <c r="K340" s="1">
        <f t="shared" si="21"/>
        <v>801</v>
      </c>
      <c r="L340" s="1">
        <f t="shared" si="21"/>
        <v>1123</v>
      </c>
      <c r="M340" s="1">
        <f t="shared" si="21"/>
        <v>1541</v>
      </c>
      <c r="N340" t="str">
        <f t="shared" si="22"/>
        <v>NOUVELLE-AQUITAINE|64 - Pyrénées-Atlantiques|CA Pau Béarn Pyrénées</v>
      </c>
      <c r="O340" t="str">
        <f t="shared" si="23"/>
        <v>Province</v>
      </c>
    </row>
    <row r="341" spans="1:15" x14ac:dyDescent="0.25">
      <c r="A341" t="s">
        <v>738</v>
      </c>
      <c r="B341" t="str">
        <f t="shared" si="20"/>
        <v>Pyrénées-Atlantiques</v>
      </c>
      <c r="C341" t="s">
        <v>806</v>
      </c>
      <c r="D341" t="s">
        <v>811</v>
      </c>
      <c r="E341" t="s">
        <v>812</v>
      </c>
      <c r="F341" t="s">
        <v>1093</v>
      </c>
      <c r="G341" t="s">
        <v>21</v>
      </c>
      <c r="H341" s="5">
        <v>9339</v>
      </c>
      <c r="I341" s="1">
        <v>13200</v>
      </c>
      <c r="J341" s="1">
        <v>18009</v>
      </c>
      <c r="K341" s="1">
        <f t="shared" si="21"/>
        <v>778</v>
      </c>
      <c r="L341" s="1">
        <f t="shared" si="21"/>
        <v>1100</v>
      </c>
      <c r="M341" s="1">
        <f t="shared" si="21"/>
        <v>1501</v>
      </c>
      <c r="N341" t="str">
        <f t="shared" si="22"/>
        <v>NOUVELLE-AQUITAINE|64 - Pyrénées-Atlantiques|CC de Lacq-Orthez</v>
      </c>
      <c r="O341" t="str">
        <f t="shared" si="23"/>
        <v>Province</v>
      </c>
    </row>
    <row r="342" spans="1:15" x14ac:dyDescent="0.25">
      <c r="A342" t="s">
        <v>738</v>
      </c>
      <c r="B342" t="str">
        <f t="shared" si="20"/>
        <v>Pyrénées-Atlantiques</v>
      </c>
      <c r="C342" t="s">
        <v>806</v>
      </c>
      <c r="D342" t="s">
        <v>813</v>
      </c>
      <c r="E342" t="s">
        <v>814</v>
      </c>
      <c r="F342" t="s">
        <v>1093</v>
      </c>
      <c r="G342" t="s">
        <v>21</v>
      </c>
      <c r="H342" s="5">
        <v>8609</v>
      </c>
      <c r="I342" s="1">
        <v>12396</v>
      </c>
      <c r="J342" s="1">
        <v>16392</v>
      </c>
      <c r="K342" s="1">
        <f t="shared" si="21"/>
        <v>717</v>
      </c>
      <c r="L342" s="1">
        <f t="shared" si="21"/>
        <v>1033</v>
      </c>
      <c r="M342" s="1">
        <f t="shared" si="21"/>
        <v>1366</v>
      </c>
      <c r="N342" t="str">
        <f t="shared" si="22"/>
        <v>NOUVELLE-AQUITAINE|64 - Pyrénées-Atlantiques|CC du Haut Béarn</v>
      </c>
      <c r="O342" t="str">
        <f t="shared" si="23"/>
        <v>Province</v>
      </c>
    </row>
    <row r="343" spans="1:15" x14ac:dyDescent="0.25">
      <c r="A343" t="s">
        <v>738</v>
      </c>
      <c r="B343" t="str">
        <f t="shared" si="20"/>
        <v>Deux-Sèvres</v>
      </c>
      <c r="C343" t="s">
        <v>816</v>
      </c>
      <c r="D343" t="s">
        <v>817</v>
      </c>
      <c r="E343" t="s">
        <v>818</v>
      </c>
      <c r="F343" t="s">
        <v>1093</v>
      </c>
      <c r="G343" t="s">
        <v>21</v>
      </c>
      <c r="H343" s="5">
        <v>10548</v>
      </c>
      <c r="I343" s="1">
        <v>14544</v>
      </c>
      <c r="J343" s="1">
        <v>18720</v>
      </c>
      <c r="K343" s="1">
        <f t="shared" si="21"/>
        <v>879</v>
      </c>
      <c r="L343" s="1">
        <f t="shared" si="21"/>
        <v>1212</v>
      </c>
      <c r="M343" s="1">
        <f t="shared" si="21"/>
        <v>1560</v>
      </c>
      <c r="N343" t="str">
        <f t="shared" si="22"/>
        <v>NOUVELLE-AQUITAINE|79 - Deux-Sèvres|CA du Bocage Bressuirais</v>
      </c>
      <c r="O343" t="str">
        <f t="shared" si="23"/>
        <v>Province</v>
      </c>
    </row>
    <row r="344" spans="1:15" x14ac:dyDescent="0.25">
      <c r="A344" t="s">
        <v>738</v>
      </c>
      <c r="B344" t="str">
        <f t="shared" si="20"/>
        <v>Deux-Sèvres</v>
      </c>
      <c r="C344" t="s">
        <v>816</v>
      </c>
      <c r="D344" t="s">
        <v>819</v>
      </c>
      <c r="E344" t="s">
        <v>820</v>
      </c>
      <c r="F344" t="s">
        <v>1093</v>
      </c>
      <c r="G344" t="s">
        <v>21</v>
      </c>
      <c r="H344" s="5">
        <v>10106</v>
      </c>
      <c r="I344" s="1">
        <v>13730</v>
      </c>
      <c r="J344" s="1">
        <v>18924</v>
      </c>
      <c r="K344" s="1">
        <f t="shared" si="21"/>
        <v>842</v>
      </c>
      <c r="L344" s="1">
        <f t="shared" si="21"/>
        <v>1144</v>
      </c>
      <c r="M344" s="1">
        <f t="shared" si="21"/>
        <v>1577</v>
      </c>
      <c r="N344" t="str">
        <f t="shared" si="22"/>
        <v>NOUVELLE-AQUITAINE|79 - Deux-Sèvres|CA du Niortais</v>
      </c>
      <c r="O344" t="str">
        <f t="shared" si="23"/>
        <v>Province</v>
      </c>
    </row>
    <row r="345" spans="1:15" x14ac:dyDescent="0.25">
      <c r="A345" t="s">
        <v>738</v>
      </c>
      <c r="B345" t="str">
        <f t="shared" si="20"/>
        <v>Deux-Sèvres</v>
      </c>
      <c r="C345" t="s">
        <v>816</v>
      </c>
      <c r="D345" t="s">
        <v>821</v>
      </c>
      <c r="E345" t="s">
        <v>822</v>
      </c>
      <c r="F345" t="s">
        <v>1093</v>
      </c>
      <c r="G345" t="s">
        <v>21</v>
      </c>
      <c r="H345" s="5">
        <v>9520</v>
      </c>
      <c r="I345" s="1">
        <v>12564</v>
      </c>
      <c r="J345" s="1">
        <v>17466</v>
      </c>
      <c r="K345" s="1">
        <f t="shared" si="21"/>
        <v>793</v>
      </c>
      <c r="L345" s="1">
        <f t="shared" si="21"/>
        <v>1047</v>
      </c>
      <c r="M345" s="1">
        <f t="shared" si="21"/>
        <v>1456</v>
      </c>
      <c r="N345" t="str">
        <f t="shared" si="22"/>
        <v>NOUVELLE-AQUITAINE|79 - Deux-Sèvres|CC de Parthenay-Gâtine</v>
      </c>
      <c r="O345" t="str">
        <f t="shared" si="23"/>
        <v>Province</v>
      </c>
    </row>
    <row r="346" spans="1:15" x14ac:dyDescent="0.25">
      <c r="A346" t="s">
        <v>738</v>
      </c>
      <c r="B346" t="str">
        <f t="shared" si="20"/>
        <v>Deux-Sèvres</v>
      </c>
      <c r="C346" t="s">
        <v>816</v>
      </c>
      <c r="D346" t="s">
        <v>823</v>
      </c>
      <c r="E346" t="s">
        <v>824</v>
      </c>
      <c r="F346" t="s">
        <v>1093</v>
      </c>
      <c r="G346" t="s">
        <v>21</v>
      </c>
      <c r="H346" s="5">
        <v>8603</v>
      </c>
      <c r="I346" s="1">
        <v>12396</v>
      </c>
      <c r="J346" s="1">
        <v>16488</v>
      </c>
      <c r="K346" s="1">
        <f t="shared" si="21"/>
        <v>717</v>
      </c>
      <c r="L346" s="1">
        <f t="shared" si="21"/>
        <v>1033</v>
      </c>
      <c r="M346" s="1">
        <f t="shared" si="21"/>
        <v>1374</v>
      </c>
      <c r="N346" t="str">
        <f t="shared" si="22"/>
        <v>NOUVELLE-AQUITAINE|79 - Deux-Sèvres|CC du Thouarsais</v>
      </c>
      <c r="O346" t="str">
        <f t="shared" si="23"/>
        <v>Province</v>
      </c>
    </row>
    <row r="347" spans="1:15" x14ac:dyDescent="0.25">
      <c r="A347" t="s">
        <v>738</v>
      </c>
      <c r="B347" t="str">
        <f t="shared" si="20"/>
        <v>Vienne</v>
      </c>
      <c r="C347" t="s">
        <v>826</v>
      </c>
      <c r="D347" t="s">
        <v>827</v>
      </c>
      <c r="E347" t="s">
        <v>828</v>
      </c>
      <c r="F347" t="s">
        <v>1093</v>
      </c>
      <c r="G347" t="s">
        <v>21</v>
      </c>
      <c r="H347" s="5">
        <v>8685</v>
      </c>
      <c r="I347" s="1">
        <v>12280</v>
      </c>
      <c r="J347" s="1">
        <v>16800</v>
      </c>
      <c r="K347" s="1">
        <f t="shared" si="21"/>
        <v>724</v>
      </c>
      <c r="L347" s="1">
        <f t="shared" si="21"/>
        <v>1023</v>
      </c>
      <c r="M347" s="1">
        <f t="shared" si="21"/>
        <v>1400</v>
      </c>
      <c r="N347" t="str">
        <f t="shared" si="22"/>
        <v>NOUVELLE-AQUITAINE|86 - Vienne|CA Grand Châtellerault</v>
      </c>
      <c r="O347" t="str">
        <f t="shared" si="23"/>
        <v>Province</v>
      </c>
    </row>
    <row r="348" spans="1:15" x14ac:dyDescent="0.25">
      <c r="A348" t="s">
        <v>738</v>
      </c>
      <c r="B348" t="str">
        <f t="shared" si="20"/>
        <v>Vienne</v>
      </c>
      <c r="C348" t="s">
        <v>826</v>
      </c>
      <c r="D348" t="s">
        <v>829</v>
      </c>
      <c r="E348" t="s">
        <v>830</v>
      </c>
      <c r="F348" t="s">
        <v>1093</v>
      </c>
      <c r="G348" t="s">
        <v>21</v>
      </c>
      <c r="H348" s="5">
        <v>8967</v>
      </c>
      <c r="I348" s="1">
        <v>12852</v>
      </c>
      <c r="J348" s="1">
        <v>18024</v>
      </c>
      <c r="K348" s="1">
        <f t="shared" si="21"/>
        <v>747</v>
      </c>
      <c r="L348" s="1">
        <f t="shared" si="21"/>
        <v>1071</v>
      </c>
      <c r="M348" s="1">
        <f t="shared" si="21"/>
        <v>1502</v>
      </c>
      <c r="N348" t="str">
        <f t="shared" si="22"/>
        <v>NOUVELLE-AQUITAINE|86 - Vienne|CU du Grand Poitiers</v>
      </c>
      <c r="O348" t="str">
        <f t="shared" si="23"/>
        <v>Province</v>
      </c>
    </row>
    <row r="349" spans="1:15" x14ac:dyDescent="0.25">
      <c r="A349" t="s">
        <v>738</v>
      </c>
      <c r="B349" t="str">
        <f t="shared" si="20"/>
        <v>Haute-Vienne</v>
      </c>
      <c r="C349" t="s">
        <v>832</v>
      </c>
      <c r="D349" t="s">
        <v>833</v>
      </c>
      <c r="E349" t="s">
        <v>834</v>
      </c>
      <c r="F349" t="s">
        <v>1093</v>
      </c>
      <c r="G349" t="s">
        <v>21</v>
      </c>
      <c r="H349" s="5">
        <v>9600</v>
      </c>
      <c r="I349" s="1">
        <v>13063</v>
      </c>
      <c r="J349" s="1">
        <v>18000</v>
      </c>
      <c r="K349" s="1">
        <f t="shared" si="21"/>
        <v>800</v>
      </c>
      <c r="L349" s="1">
        <f t="shared" si="21"/>
        <v>1089</v>
      </c>
      <c r="M349" s="1">
        <f t="shared" si="21"/>
        <v>1500</v>
      </c>
      <c r="N349" t="str">
        <f t="shared" si="22"/>
        <v>NOUVELLE-AQUITAINE|87 - Haute-Vienne|CU Limoges Métropole</v>
      </c>
      <c r="O349" t="str">
        <f t="shared" si="23"/>
        <v>Province</v>
      </c>
    </row>
    <row r="350" spans="1:15" x14ac:dyDescent="0.25">
      <c r="A350" t="s">
        <v>835</v>
      </c>
      <c r="B350" t="str">
        <f t="shared" si="20"/>
        <v>Ariège</v>
      </c>
      <c r="C350" t="s">
        <v>837</v>
      </c>
      <c r="D350" t="s">
        <v>838</v>
      </c>
      <c r="E350" t="s">
        <v>839</v>
      </c>
      <c r="F350" t="s">
        <v>1093</v>
      </c>
      <c r="G350" t="s">
        <v>21</v>
      </c>
      <c r="H350" s="5">
        <v>7620</v>
      </c>
      <c r="I350" s="1">
        <v>12192</v>
      </c>
      <c r="J350" s="1">
        <v>16030</v>
      </c>
      <c r="K350" s="1">
        <f t="shared" si="21"/>
        <v>635</v>
      </c>
      <c r="L350" s="1">
        <f t="shared" si="21"/>
        <v>1016</v>
      </c>
      <c r="M350" s="1">
        <f t="shared" si="21"/>
        <v>1336</v>
      </c>
      <c r="N350" t="str">
        <f t="shared" si="22"/>
        <v>OCCITANIE|09 - Ariège|CA L'Agglo Foix-Varilhes</v>
      </c>
      <c r="O350" t="str">
        <f t="shared" si="23"/>
        <v>Province</v>
      </c>
    </row>
    <row r="351" spans="1:15" x14ac:dyDescent="0.25">
      <c r="A351" t="s">
        <v>835</v>
      </c>
      <c r="B351" t="str">
        <f t="shared" si="20"/>
        <v>Ariège</v>
      </c>
      <c r="C351" t="s">
        <v>837</v>
      </c>
      <c r="D351" t="s">
        <v>840</v>
      </c>
      <c r="E351" t="s">
        <v>841</v>
      </c>
      <c r="F351" t="s">
        <v>1093</v>
      </c>
      <c r="G351" t="s">
        <v>21</v>
      </c>
      <c r="H351" s="5">
        <v>6936</v>
      </c>
      <c r="I351" s="1">
        <v>10246</v>
      </c>
      <c r="J351" s="1">
        <v>14556</v>
      </c>
      <c r="K351" s="1">
        <f t="shared" si="21"/>
        <v>578</v>
      </c>
      <c r="L351" s="1">
        <f t="shared" si="21"/>
        <v>854</v>
      </c>
      <c r="M351" s="1">
        <f t="shared" si="21"/>
        <v>1213</v>
      </c>
      <c r="N351" t="str">
        <f t="shared" si="22"/>
        <v>OCCITANIE|09 - Ariège|CC Couserans-Pyrénées</v>
      </c>
      <c r="O351" t="str">
        <f t="shared" si="23"/>
        <v>Province</v>
      </c>
    </row>
    <row r="352" spans="1:15" x14ac:dyDescent="0.25">
      <c r="A352" t="s">
        <v>835</v>
      </c>
      <c r="B352" t="str">
        <f t="shared" si="20"/>
        <v>Ariège</v>
      </c>
      <c r="C352" t="s">
        <v>837</v>
      </c>
      <c r="D352" t="s">
        <v>842</v>
      </c>
      <c r="E352" t="s">
        <v>843</v>
      </c>
      <c r="F352" t="s">
        <v>1093</v>
      </c>
      <c r="G352" t="s">
        <v>21</v>
      </c>
      <c r="H352" s="5">
        <v>7540</v>
      </c>
      <c r="I352" s="1">
        <v>12000</v>
      </c>
      <c r="J352" s="1">
        <v>16503</v>
      </c>
      <c r="K352" s="1">
        <f t="shared" si="21"/>
        <v>628</v>
      </c>
      <c r="L352" s="1">
        <f t="shared" si="21"/>
        <v>1000</v>
      </c>
      <c r="M352" s="1">
        <f t="shared" si="21"/>
        <v>1375</v>
      </c>
      <c r="N352" t="str">
        <f t="shared" si="22"/>
        <v>OCCITANIE|09 - Ariège|CC des Portes d'Ariège Pyrénées</v>
      </c>
      <c r="O352" t="str">
        <f t="shared" si="23"/>
        <v>Province</v>
      </c>
    </row>
    <row r="353" spans="1:15" x14ac:dyDescent="0.25">
      <c r="A353" t="s">
        <v>835</v>
      </c>
      <c r="B353" t="str">
        <f t="shared" si="20"/>
        <v>Aude</v>
      </c>
      <c r="C353" t="s">
        <v>845</v>
      </c>
      <c r="D353" t="s">
        <v>846</v>
      </c>
      <c r="E353" t="s">
        <v>847</v>
      </c>
      <c r="F353" t="s">
        <v>1093</v>
      </c>
      <c r="G353" t="s">
        <v>21</v>
      </c>
      <c r="H353" s="5">
        <v>8128</v>
      </c>
      <c r="I353" s="1">
        <v>12192</v>
      </c>
      <c r="J353" s="1">
        <v>16608</v>
      </c>
      <c r="K353" s="1">
        <f t="shared" si="21"/>
        <v>677</v>
      </c>
      <c r="L353" s="1">
        <f t="shared" si="21"/>
        <v>1016</v>
      </c>
      <c r="M353" s="1">
        <f t="shared" si="21"/>
        <v>1384</v>
      </c>
      <c r="N353" t="str">
        <f t="shared" si="22"/>
        <v>OCCITANIE|11 - Aude|CA Carcassonne Agglo</v>
      </c>
      <c r="O353" t="str">
        <f t="shared" si="23"/>
        <v>Province</v>
      </c>
    </row>
    <row r="354" spans="1:15" x14ac:dyDescent="0.25">
      <c r="A354" t="s">
        <v>835</v>
      </c>
      <c r="B354" t="str">
        <f t="shared" si="20"/>
        <v>Aude</v>
      </c>
      <c r="C354" t="s">
        <v>845</v>
      </c>
      <c r="D354" t="s">
        <v>848</v>
      </c>
      <c r="E354" t="s">
        <v>849</v>
      </c>
      <c r="F354" t="s">
        <v>1093</v>
      </c>
      <c r="G354" t="s">
        <v>21</v>
      </c>
      <c r="H354" s="5">
        <v>8579</v>
      </c>
      <c r="I354" s="1">
        <v>12396</v>
      </c>
      <c r="J354" s="1">
        <v>16985</v>
      </c>
      <c r="K354" s="1">
        <f t="shared" si="21"/>
        <v>715</v>
      </c>
      <c r="L354" s="1">
        <f t="shared" si="21"/>
        <v>1033</v>
      </c>
      <c r="M354" s="1">
        <f t="shared" si="21"/>
        <v>1415</v>
      </c>
      <c r="N354" t="str">
        <f t="shared" si="22"/>
        <v>OCCITANIE|11 - Aude|CA Le Grand Narbonne</v>
      </c>
      <c r="O354" t="str">
        <f t="shared" si="23"/>
        <v>Province</v>
      </c>
    </row>
    <row r="355" spans="1:15" x14ac:dyDescent="0.25">
      <c r="A355" t="s">
        <v>835</v>
      </c>
      <c r="B355" t="str">
        <f t="shared" si="20"/>
        <v>Aude</v>
      </c>
      <c r="C355" t="s">
        <v>845</v>
      </c>
      <c r="D355" t="s">
        <v>850</v>
      </c>
      <c r="E355" t="s">
        <v>851</v>
      </c>
      <c r="F355" t="s">
        <v>1093</v>
      </c>
      <c r="G355" t="s">
        <v>21</v>
      </c>
      <c r="H355" s="5">
        <v>8171</v>
      </c>
      <c r="I355" s="1">
        <v>12192</v>
      </c>
      <c r="J355" s="1">
        <v>16030</v>
      </c>
      <c r="K355" s="1">
        <f t="shared" si="21"/>
        <v>681</v>
      </c>
      <c r="L355" s="1">
        <f t="shared" si="21"/>
        <v>1016</v>
      </c>
      <c r="M355" s="1">
        <f t="shared" si="21"/>
        <v>1336</v>
      </c>
      <c r="N355" t="str">
        <f t="shared" si="22"/>
        <v>OCCITANIE|11 - Aude|CC du Limouxin</v>
      </c>
      <c r="O355" t="str">
        <f t="shared" si="23"/>
        <v>Province</v>
      </c>
    </row>
    <row r="356" spans="1:15" x14ac:dyDescent="0.25">
      <c r="A356" t="s">
        <v>835</v>
      </c>
      <c r="B356" t="str">
        <f t="shared" si="20"/>
        <v>Aude</v>
      </c>
      <c r="C356" t="s">
        <v>845</v>
      </c>
      <c r="D356" t="s">
        <v>852</v>
      </c>
      <c r="E356" t="s">
        <v>853</v>
      </c>
      <c r="F356" t="s">
        <v>1093</v>
      </c>
      <c r="G356" t="s">
        <v>21</v>
      </c>
      <c r="H356" s="5">
        <v>8163</v>
      </c>
      <c r="I356" s="1">
        <v>12020</v>
      </c>
      <c r="J356" s="1">
        <v>16128</v>
      </c>
      <c r="K356" s="1">
        <f t="shared" si="21"/>
        <v>680</v>
      </c>
      <c r="L356" s="1">
        <f t="shared" si="21"/>
        <v>1002</v>
      </c>
      <c r="M356" s="1">
        <f t="shared" si="21"/>
        <v>1344</v>
      </c>
      <c r="N356" t="str">
        <f t="shared" si="22"/>
        <v>OCCITANIE|11 - Aude|CC Région Lézignanaise, Corbières et Minervois</v>
      </c>
      <c r="O356" t="str">
        <f t="shared" si="23"/>
        <v>Province</v>
      </c>
    </row>
    <row r="357" spans="1:15" x14ac:dyDescent="0.25">
      <c r="A357" t="s">
        <v>835</v>
      </c>
      <c r="B357" t="str">
        <f t="shared" si="20"/>
        <v>Aveyron</v>
      </c>
      <c r="C357" t="s">
        <v>855</v>
      </c>
      <c r="D357" t="s">
        <v>856</v>
      </c>
      <c r="E357" t="s">
        <v>857</v>
      </c>
      <c r="F357" t="s">
        <v>1093</v>
      </c>
      <c r="G357" t="s">
        <v>21</v>
      </c>
      <c r="H357" s="5">
        <v>8912</v>
      </c>
      <c r="I357" s="1">
        <v>12666</v>
      </c>
      <c r="J357" s="1">
        <v>17741</v>
      </c>
      <c r="K357" s="1">
        <f t="shared" si="21"/>
        <v>743</v>
      </c>
      <c r="L357" s="1">
        <f t="shared" si="21"/>
        <v>1056</v>
      </c>
      <c r="M357" s="1">
        <f t="shared" si="21"/>
        <v>1478</v>
      </c>
      <c r="N357" t="str">
        <f t="shared" si="22"/>
        <v>OCCITANIE|12 - Aveyron|CA Rodez Agglomération</v>
      </c>
      <c r="O357" t="str">
        <f t="shared" si="23"/>
        <v>Province</v>
      </c>
    </row>
    <row r="358" spans="1:15" x14ac:dyDescent="0.25">
      <c r="A358" t="s">
        <v>835</v>
      </c>
      <c r="B358" t="str">
        <f t="shared" si="20"/>
        <v>Aveyron</v>
      </c>
      <c r="C358" t="s">
        <v>855</v>
      </c>
      <c r="D358" t="s">
        <v>858</v>
      </c>
      <c r="E358" t="s">
        <v>859</v>
      </c>
      <c r="F358" t="s">
        <v>1093</v>
      </c>
      <c r="G358" t="s">
        <v>21</v>
      </c>
      <c r="H358" s="5">
        <v>10385</v>
      </c>
      <c r="I358" s="1">
        <v>13331</v>
      </c>
      <c r="J358" s="1">
        <v>18000</v>
      </c>
      <c r="K358" s="1">
        <f t="shared" si="21"/>
        <v>865</v>
      </c>
      <c r="L358" s="1">
        <f t="shared" si="21"/>
        <v>1111</v>
      </c>
      <c r="M358" s="1">
        <f t="shared" si="21"/>
        <v>1500</v>
      </c>
      <c r="N358" t="str">
        <f t="shared" si="22"/>
        <v>OCCITANIE|12 - Aveyron|CC de Millau Grands Causses</v>
      </c>
      <c r="O358" t="str">
        <f t="shared" si="23"/>
        <v>Province</v>
      </c>
    </row>
    <row r="359" spans="1:15" x14ac:dyDescent="0.25">
      <c r="A359" t="s">
        <v>835</v>
      </c>
      <c r="B359" t="str">
        <f t="shared" si="20"/>
        <v>Aveyron</v>
      </c>
      <c r="C359" t="s">
        <v>855</v>
      </c>
      <c r="D359" t="s">
        <v>860</v>
      </c>
      <c r="E359" t="s">
        <v>861</v>
      </c>
      <c r="F359" t="s">
        <v>1093</v>
      </c>
      <c r="G359" t="s">
        <v>21</v>
      </c>
      <c r="H359" s="5">
        <v>8136</v>
      </c>
      <c r="I359" s="1">
        <v>12336</v>
      </c>
      <c r="J359" s="1">
        <v>16676</v>
      </c>
      <c r="K359" s="1">
        <f t="shared" si="21"/>
        <v>678</v>
      </c>
      <c r="L359" s="1">
        <f t="shared" si="21"/>
        <v>1028</v>
      </c>
      <c r="M359" s="1">
        <f t="shared" si="21"/>
        <v>1390</v>
      </c>
      <c r="N359" t="str">
        <f t="shared" si="22"/>
        <v>OCCITANIE|12 - Aveyron|CC Grand-Figeac</v>
      </c>
      <c r="O359" t="str">
        <f t="shared" si="23"/>
        <v>Province</v>
      </c>
    </row>
    <row r="360" spans="1:15" x14ac:dyDescent="0.25">
      <c r="A360" t="s">
        <v>835</v>
      </c>
      <c r="B360" t="str">
        <f t="shared" si="20"/>
        <v>Gard</v>
      </c>
      <c r="C360" t="s">
        <v>865</v>
      </c>
      <c r="D360" t="s">
        <v>866</v>
      </c>
      <c r="E360" t="s">
        <v>867</v>
      </c>
      <c r="F360" t="s">
        <v>1093</v>
      </c>
      <c r="G360" t="s">
        <v>21</v>
      </c>
      <c r="H360" s="5">
        <v>8008</v>
      </c>
      <c r="I360" s="1">
        <v>12192</v>
      </c>
      <c r="J360" s="1">
        <v>16653</v>
      </c>
      <c r="K360" s="1">
        <f t="shared" si="21"/>
        <v>667</v>
      </c>
      <c r="L360" s="1">
        <f t="shared" si="21"/>
        <v>1016</v>
      </c>
      <c r="M360" s="1">
        <f t="shared" si="21"/>
        <v>1388</v>
      </c>
      <c r="N360" t="str">
        <f t="shared" si="22"/>
        <v>OCCITANIE|30 - Gard|CA Alès Agglomération</v>
      </c>
      <c r="O360" t="str">
        <f t="shared" si="23"/>
        <v>Province</v>
      </c>
    </row>
    <row r="361" spans="1:15" x14ac:dyDescent="0.25">
      <c r="A361" t="s">
        <v>835</v>
      </c>
      <c r="B361" t="str">
        <f t="shared" si="20"/>
        <v>Gard</v>
      </c>
      <c r="C361" t="s">
        <v>865</v>
      </c>
      <c r="D361" t="s">
        <v>868</v>
      </c>
      <c r="E361" t="s">
        <v>869</v>
      </c>
      <c r="F361" t="s">
        <v>1093</v>
      </c>
      <c r="G361" t="s">
        <v>21</v>
      </c>
      <c r="H361" s="5">
        <v>8272</v>
      </c>
      <c r="I361" s="1">
        <v>12396</v>
      </c>
      <c r="J361" s="1">
        <v>17430</v>
      </c>
      <c r="K361" s="1">
        <f t="shared" si="21"/>
        <v>689</v>
      </c>
      <c r="L361" s="1">
        <f t="shared" si="21"/>
        <v>1033</v>
      </c>
      <c r="M361" s="1">
        <f t="shared" si="21"/>
        <v>1453</v>
      </c>
      <c r="N361" t="str">
        <f t="shared" si="22"/>
        <v>OCCITANIE|30 - Gard|CA de Nîmes Métropole</v>
      </c>
      <c r="O361" t="str">
        <f t="shared" si="23"/>
        <v>Province</v>
      </c>
    </row>
    <row r="362" spans="1:15" x14ac:dyDescent="0.25">
      <c r="A362" t="s">
        <v>835</v>
      </c>
      <c r="B362" t="str">
        <f t="shared" si="20"/>
        <v>Gard</v>
      </c>
      <c r="C362" t="s">
        <v>865</v>
      </c>
      <c r="D362" t="s">
        <v>870</v>
      </c>
      <c r="E362" t="s">
        <v>871</v>
      </c>
      <c r="F362" t="s">
        <v>1093</v>
      </c>
      <c r="G362" t="s">
        <v>21</v>
      </c>
      <c r="H362" s="5">
        <v>8284</v>
      </c>
      <c r="I362" s="1">
        <v>12396</v>
      </c>
      <c r="J362" s="1">
        <v>17400</v>
      </c>
      <c r="K362" s="1">
        <f t="shared" si="21"/>
        <v>690</v>
      </c>
      <c r="L362" s="1">
        <f t="shared" si="21"/>
        <v>1033</v>
      </c>
      <c r="M362" s="1">
        <f t="shared" si="21"/>
        <v>1450</v>
      </c>
      <c r="N362" t="str">
        <f t="shared" si="22"/>
        <v>OCCITANIE|30 - Gard|CA du Gard Rhodanien</v>
      </c>
      <c r="O362" t="str">
        <f t="shared" si="23"/>
        <v>Province</v>
      </c>
    </row>
    <row r="363" spans="1:15" x14ac:dyDescent="0.25">
      <c r="A363" t="s">
        <v>835</v>
      </c>
      <c r="B363" t="str">
        <f t="shared" si="20"/>
        <v>Gard</v>
      </c>
      <c r="C363" t="s">
        <v>865</v>
      </c>
      <c r="D363" t="s">
        <v>872</v>
      </c>
      <c r="E363" t="s">
        <v>873</v>
      </c>
      <c r="F363" t="s">
        <v>1093</v>
      </c>
      <c r="G363" t="s">
        <v>21</v>
      </c>
      <c r="H363" s="5">
        <v>8952</v>
      </c>
      <c r="I363" s="1">
        <v>13055</v>
      </c>
      <c r="J363" s="1">
        <v>18303</v>
      </c>
      <c r="K363" s="1">
        <f t="shared" si="21"/>
        <v>746</v>
      </c>
      <c r="L363" s="1">
        <f t="shared" si="21"/>
        <v>1088</v>
      </c>
      <c r="M363" s="1">
        <f t="shared" si="21"/>
        <v>1525</v>
      </c>
      <c r="N363" t="str">
        <f t="shared" si="22"/>
        <v>OCCITANIE|30 - Gard|CA du Grand Avignon (COGA)</v>
      </c>
      <c r="O363" t="str">
        <f t="shared" si="23"/>
        <v>Province</v>
      </c>
    </row>
    <row r="364" spans="1:15" x14ac:dyDescent="0.25">
      <c r="A364" t="s">
        <v>835</v>
      </c>
      <c r="B364" t="str">
        <f t="shared" si="20"/>
        <v>Gard</v>
      </c>
      <c r="C364" t="s">
        <v>865</v>
      </c>
      <c r="D364" t="s">
        <v>874</v>
      </c>
      <c r="E364" t="s">
        <v>875</v>
      </c>
      <c r="F364" t="s">
        <v>1093</v>
      </c>
      <c r="G364" t="s">
        <v>21</v>
      </c>
      <c r="H364" s="5">
        <v>8710</v>
      </c>
      <c r="I364" s="1">
        <v>12396</v>
      </c>
      <c r="J364" s="1">
        <v>16800</v>
      </c>
      <c r="K364" s="1">
        <f t="shared" si="21"/>
        <v>726</v>
      </c>
      <c r="L364" s="1">
        <f t="shared" si="21"/>
        <v>1033</v>
      </c>
      <c r="M364" s="1">
        <f t="shared" si="21"/>
        <v>1400</v>
      </c>
      <c r="N364" t="str">
        <f t="shared" si="22"/>
        <v>OCCITANIE|30 - Gard|CC Beaucaire Terre d'Argence</v>
      </c>
      <c r="O364" t="str">
        <f t="shared" si="23"/>
        <v>Province</v>
      </c>
    </row>
    <row r="365" spans="1:15" x14ac:dyDescent="0.25">
      <c r="A365" t="s">
        <v>835</v>
      </c>
      <c r="B365" t="str">
        <f t="shared" si="20"/>
        <v>Gard</v>
      </c>
      <c r="C365" t="s">
        <v>865</v>
      </c>
      <c r="D365" t="s">
        <v>54</v>
      </c>
      <c r="E365" t="s">
        <v>55</v>
      </c>
      <c r="F365" t="s">
        <v>1093</v>
      </c>
      <c r="G365" t="s">
        <v>21</v>
      </c>
      <c r="H365" s="5">
        <v>7620</v>
      </c>
      <c r="I365" s="1">
        <v>12036</v>
      </c>
      <c r="J365" s="1">
        <v>15288</v>
      </c>
      <c r="K365" s="1">
        <f t="shared" si="21"/>
        <v>635</v>
      </c>
      <c r="L365" s="1">
        <f t="shared" si="21"/>
        <v>1003</v>
      </c>
      <c r="M365" s="1">
        <f t="shared" si="21"/>
        <v>1274</v>
      </c>
      <c r="N365" t="str">
        <f t="shared" si="22"/>
        <v>OCCITANIE|30 - Gard|CC de Cèze Cévennes</v>
      </c>
      <c r="O365" t="str">
        <f t="shared" si="23"/>
        <v>Province</v>
      </c>
    </row>
    <row r="366" spans="1:15" x14ac:dyDescent="0.25">
      <c r="A366" t="s">
        <v>835</v>
      </c>
      <c r="B366" t="str">
        <f t="shared" si="20"/>
        <v>Gard</v>
      </c>
      <c r="C366" t="s">
        <v>865</v>
      </c>
      <c r="D366" t="s">
        <v>876</v>
      </c>
      <c r="E366" t="s">
        <v>877</v>
      </c>
      <c r="F366" t="s">
        <v>1093</v>
      </c>
      <c r="G366" t="s">
        <v>21</v>
      </c>
      <c r="H366" s="5">
        <v>9178</v>
      </c>
      <c r="I366" s="1">
        <v>12660</v>
      </c>
      <c r="J366" s="1">
        <v>17714</v>
      </c>
      <c r="K366" s="1">
        <f t="shared" si="21"/>
        <v>765</v>
      </c>
      <c r="L366" s="1">
        <f t="shared" si="21"/>
        <v>1055</v>
      </c>
      <c r="M366" s="1">
        <f t="shared" si="21"/>
        <v>1476</v>
      </c>
      <c r="N366" t="str">
        <f t="shared" si="22"/>
        <v>OCCITANIE|30 - Gard|CC de Petite Camargue</v>
      </c>
      <c r="O366" t="str">
        <f t="shared" si="23"/>
        <v>Province</v>
      </c>
    </row>
    <row r="367" spans="1:15" x14ac:dyDescent="0.25">
      <c r="A367" t="s">
        <v>835</v>
      </c>
      <c r="B367" t="str">
        <f t="shared" si="20"/>
        <v>Gard</v>
      </c>
      <c r="C367" t="s">
        <v>865</v>
      </c>
      <c r="D367" t="s">
        <v>878</v>
      </c>
      <c r="E367" t="s">
        <v>879</v>
      </c>
      <c r="F367" t="s">
        <v>1093</v>
      </c>
      <c r="G367" t="s">
        <v>21</v>
      </c>
      <c r="H367" s="5">
        <v>9247</v>
      </c>
      <c r="I367" s="1">
        <v>12396</v>
      </c>
      <c r="J367" s="1">
        <v>16649</v>
      </c>
      <c r="K367" s="1">
        <f t="shared" si="21"/>
        <v>771</v>
      </c>
      <c r="L367" s="1">
        <f t="shared" si="21"/>
        <v>1033</v>
      </c>
      <c r="M367" s="1">
        <f t="shared" si="21"/>
        <v>1387</v>
      </c>
      <c r="N367" t="str">
        <f t="shared" si="22"/>
        <v>OCCITANIE|30 - Gard|CC Pays d'Uzès</v>
      </c>
      <c r="O367" t="str">
        <f t="shared" si="23"/>
        <v>Province</v>
      </c>
    </row>
    <row r="368" spans="1:15" x14ac:dyDescent="0.25">
      <c r="A368" t="s">
        <v>835</v>
      </c>
      <c r="B368" t="str">
        <f t="shared" si="20"/>
        <v>Haute-Garonne</v>
      </c>
      <c r="C368" t="s">
        <v>881</v>
      </c>
      <c r="D368" t="s">
        <v>882</v>
      </c>
      <c r="E368" t="s">
        <v>883</v>
      </c>
      <c r="F368" t="s">
        <v>1093</v>
      </c>
      <c r="G368" t="s">
        <v>21</v>
      </c>
      <c r="H368" s="5">
        <v>9585</v>
      </c>
      <c r="I368" s="1">
        <v>14123</v>
      </c>
      <c r="J368" s="1">
        <v>19806</v>
      </c>
      <c r="K368" s="1">
        <f t="shared" si="21"/>
        <v>799</v>
      </c>
      <c r="L368" s="1">
        <f t="shared" si="21"/>
        <v>1177</v>
      </c>
      <c r="M368" s="1">
        <f t="shared" si="21"/>
        <v>1651</v>
      </c>
      <c r="N368" t="str">
        <f t="shared" si="22"/>
        <v>OCCITANIE|31 - Haute-Garonne|CA du Sicoval</v>
      </c>
      <c r="O368" t="str">
        <f t="shared" si="23"/>
        <v>Province</v>
      </c>
    </row>
    <row r="369" spans="1:15" x14ac:dyDescent="0.25">
      <c r="A369" t="s">
        <v>835</v>
      </c>
      <c r="B369" t="str">
        <f t="shared" si="20"/>
        <v>Haute-Garonne</v>
      </c>
      <c r="C369" t="s">
        <v>881</v>
      </c>
      <c r="D369" t="s">
        <v>884</v>
      </c>
      <c r="E369" t="s">
        <v>885</v>
      </c>
      <c r="F369" t="s">
        <v>1093</v>
      </c>
      <c r="G369" t="s">
        <v>21</v>
      </c>
      <c r="H369" s="5">
        <v>10694</v>
      </c>
      <c r="I369" s="1">
        <v>14603</v>
      </c>
      <c r="J369" s="1">
        <v>19359</v>
      </c>
      <c r="K369" s="1">
        <f t="shared" si="21"/>
        <v>891</v>
      </c>
      <c r="L369" s="1">
        <f t="shared" si="21"/>
        <v>1217</v>
      </c>
      <c r="M369" s="1">
        <f t="shared" si="21"/>
        <v>1613</v>
      </c>
      <c r="N369" t="str">
        <f t="shared" si="22"/>
        <v>OCCITANIE|31 - Haute-Garonne|CA Le Muretain Agglo</v>
      </c>
      <c r="O369" t="str">
        <f t="shared" si="23"/>
        <v>Province</v>
      </c>
    </row>
    <row r="370" spans="1:15" x14ac:dyDescent="0.25">
      <c r="A370" t="s">
        <v>835</v>
      </c>
      <c r="B370" t="str">
        <f t="shared" si="20"/>
        <v>Haute-Garonne</v>
      </c>
      <c r="C370" t="s">
        <v>881</v>
      </c>
      <c r="D370" t="s">
        <v>886</v>
      </c>
      <c r="E370" t="s">
        <v>887</v>
      </c>
      <c r="F370" t="s">
        <v>1093</v>
      </c>
      <c r="G370" t="s">
        <v>21</v>
      </c>
      <c r="H370" s="5">
        <v>8355</v>
      </c>
      <c r="I370" s="1">
        <v>12115</v>
      </c>
      <c r="J370" s="1">
        <v>14966</v>
      </c>
      <c r="K370" s="1">
        <f t="shared" si="21"/>
        <v>696</v>
      </c>
      <c r="L370" s="1">
        <f t="shared" si="21"/>
        <v>1010</v>
      </c>
      <c r="M370" s="1">
        <f t="shared" si="21"/>
        <v>1247</v>
      </c>
      <c r="N370" t="str">
        <f t="shared" si="22"/>
        <v>OCCITANIE|31 - Haute-Garonne|CC Coeur et Coteaux du Comminges</v>
      </c>
      <c r="O370" t="str">
        <f t="shared" si="23"/>
        <v>Province</v>
      </c>
    </row>
    <row r="371" spans="1:15" x14ac:dyDescent="0.25">
      <c r="A371" t="s">
        <v>835</v>
      </c>
      <c r="B371" t="str">
        <f t="shared" si="20"/>
        <v>Haute-Garonne</v>
      </c>
      <c r="C371" t="s">
        <v>881</v>
      </c>
      <c r="D371" t="s">
        <v>888</v>
      </c>
      <c r="E371" t="s">
        <v>889</v>
      </c>
      <c r="F371" t="s">
        <v>1093</v>
      </c>
      <c r="G371" t="s">
        <v>21</v>
      </c>
      <c r="H371" s="5">
        <v>10736</v>
      </c>
      <c r="I371" s="1">
        <v>13644</v>
      </c>
      <c r="J371" s="1">
        <v>18000</v>
      </c>
      <c r="K371" s="1">
        <f t="shared" si="21"/>
        <v>895</v>
      </c>
      <c r="L371" s="1">
        <f t="shared" si="21"/>
        <v>1137</v>
      </c>
      <c r="M371" s="1">
        <f t="shared" si="21"/>
        <v>1500</v>
      </c>
      <c r="N371" t="str">
        <f t="shared" si="22"/>
        <v>OCCITANIE|31 - Haute-Garonne|CC du Bassin Auterivain Haut-Garonnais</v>
      </c>
      <c r="O371" t="str">
        <f t="shared" si="23"/>
        <v>Province</v>
      </c>
    </row>
    <row r="372" spans="1:15" x14ac:dyDescent="0.25">
      <c r="A372" t="s">
        <v>835</v>
      </c>
      <c r="B372" t="str">
        <f t="shared" si="20"/>
        <v>Haute-Garonne</v>
      </c>
      <c r="C372" t="s">
        <v>881</v>
      </c>
      <c r="D372" t="s">
        <v>890</v>
      </c>
      <c r="E372" t="s">
        <v>891</v>
      </c>
      <c r="F372" t="s">
        <v>1093</v>
      </c>
      <c r="G372" t="s">
        <v>21</v>
      </c>
      <c r="H372" s="5">
        <v>10257</v>
      </c>
      <c r="I372" s="1">
        <v>13485</v>
      </c>
      <c r="J372" s="1">
        <v>17882</v>
      </c>
      <c r="K372" s="1">
        <f t="shared" si="21"/>
        <v>855</v>
      </c>
      <c r="L372" s="1">
        <f t="shared" si="21"/>
        <v>1124</v>
      </c>
      <c r="M372" s="1">
        <f t="shared" si="21"/>
        <v>1490</v>
      </c>
      <c r="N372" t="str">
        <f t="shared" si="22"/>
        <v>OCCITANIE|31 - Haute-Garonne|CC Tarn-Agout</v>
      </c>
      <c r="O372" t="str">
        <f t="shared" si="23"/>
        <v>Province</v>
      </c>
    </row>
    <row r="373" spans="1:15" x14ac:dyDescent="0.25">
      <c r="A373" t="s">
        <v>835</v>
      </c>
      <c r="B373" t="str">
        <f t="shared" si="20"/>
        <v>Haute-Garonne</v>
      </c>
      <c r="C373" t="s">
        <v>881</v>
      </c>
      <c r="D373" t="s">
        <v>1091</v>
      </c>
      <c r="E373" t="s">
        <v>893</v>
      </c>
      <c r="F373" t="s">
        <v>1093</v>
      </c>
      <c r="G373" t="s">
        <v>21</v>
      </c>
      <c r="H373" s="5">
        <v>10944</v>
      </c>
      <c r="I373" s="1">
        <v>14556</v>
      </c>
      <c r="J373" s="1">
        <v>19486</v>
      </c>
      <c r="K373" s="1">
        <f t="shared" si="21"/>
        <v>912</v>
      </c>
      <c r="L373" s="1">
        <f t="shared" si="21"/>
        <v>1213</v>
      </c>
      <c r="M373" s="1">
        <f t="shared" si="21"/>
        <v>1624</v>
      </c>
      <c r="N373" t="str">
        <f t="shared" si="22"/>
        <v>OCCITANIE|31 - Haute-Garonne|Le Grand Ouest Toulousain agglomération</v>
      </c>
      <c r="O373" t="str">
        <f t="shared" si="23"/>
        <v>Province</v>
      </c>
    </row>
    <row r="374" spans="1:15" x14ac:dyDescent="0.25">
      <c r="A374" t="s">
        <v>835</v>
      </c>
      <c r="B374" t="str">
        <f t="shared" si="20"/>
        <v>Haute-Garonne</v>
      </c>
      <c r="C374" t="s">
        <v>881</v>
      </c>
      <c r="D374" t="s">
        <v>894</v>
      </c>
      <c r="E374" t="s">
        <v>895</v>
      </c>
      <c r="F374" t="s">
        <v>1093</v>
      </c>
      <c r="G374" t="s">
        <v>21</v>
      </c>
      <c r="H374" s="5">
        <v>9806</v>
      </c>
      <c r="I374" s="1">
        <v>13769</v>
      </c>
      <c r="J374" s="1">
        <v>19228</v>
      </c>
      <c r="K374" s="1">
        <f t="shared" si="21"/>
        <v>817</v>
      </c>
      <c r="L374" s="1">
        <f t="shared" si="21"/>
        <v>1147</v>
      </c>
      <c r="M374" s="1">
        <f t="shared" si="21"/>
        <v>1602</v>
      </c>
      <c r="N374" t="str">
        <f t="shared" si="22"/>
        <v>OCCITANIE|31 - Haute-Garonne|Toulouse Métropole</v>
      </c>
      <c r="O374" t="str">
        <f t="shared" si="23"/>
        <v>Province</v>
      </c>
    </row>
    <row r="375" spans="1:15" x14ac:dyDescent="0.25">
      <c r="A375" t="s">
        <v>835</v>
      </c>
      <c r="B375" t="str">
        <f t="shared" si="20"/>
        <v>Gers</v>
      </c>
      <c r="C375" t="s">
        <v>897</v>
      </c>
      <c r="D375" t="s">
        <v>898</v>
      </c>
      <c r="E375" t="s">
        <v>899</v>
      </c>
      <c r="F375" t="s">
        <v>1093</v>
      </c>
      <c r="G375" t="s">
        <v>21</v>
      </c>
      <c r="H375" s="5">
        <v>8989</v>
      </c>
      <c r="I375" s="1">
        <v>12452</v>
      </c>
      <c r="J375" s="1">
        <v>17112</v>
      </c>
      <c r="K375" s="1">
        <f t="shared" si="21"/>
        <v>749</v>
      </c>
      <c r="L375" s="1">
        <f t="shared" si="21"/>
        <v>1038</v>
      </c>
      <c r="M375" s="1">
        <f t="shared" si="21"/>
        <v>1426</v>
      </c>
      <c r="N375" t="str">
        <f t="shared" si="22"/>
        <v>OCCITANIE|32 - Gers|CA Grand Auch Coeur de Gascogne</v>
      </c>
      <c r="O375" t="str">
        <f t="shared" si="23"/>
        <v>Province</v>
      </c>
    </row>
    <row r="376" spans="1:15" x14ac:dyDescent="0.25">
      <c r="A376" t="s">
        <v>835</v>
      </c>
      <c r="B376" t="str">
        <f t="shared" si="20"/>
        <v>Hérault</v>
      </c>
      <c r="C376" t="s">
        <v>901</v>
      </c>
      <c r="D376" t="s">
        <v>902</v>
      </c>
      <c r="E376" t="s">
        <v>903</v>
      </c>
      <c r="F376" t="s">
        <v>1093</v>
      </c>
      <c r="G376" t="s">
        <v>21</v>
      </c>
      <c r="H376" s="5">
        <v>7950</v>
      </c>
      <c r="I376" s="1">
        <v>12036</v>
      </c>
      <c r="J376" s="1">
        <v>16440</v>
      </c>
      <c r="K376" s="1">
        <f t="shared" si="21"/>
        <v>663</v>
      </c>
      <c r="L376" s="1">
        <f t="shared" si="21"/>
        <v>1003</v>
      </c>
      <c r="M376" s="1">
        <f t="shared" si="21"/>
        <v>1370</v>
      </c>
      <c r="N376" t="str">
        <f t="shared" si="22"/>
        <v>OCCITANIE|34 - Hérault|CA de Béziers-Méditerranée</v>
      </c>
      <c r="O376" t="str">
        <f t="shared" si="23"/>
        <v>Province</v>
      </c>
    </row>
    <row r="377" spans="1:15" x14ac:dyDescent="0.25">
      <c r="A377" t="s">
        <v>835</v>
      </c>
      <c r="B377" t="str">
        <f t="shared" si="20"/>
        <v>Hérault</v>
      </c>
      <c r="C377" t="s">
        <v>901</v>
      </c>
      <c r="D377" t="s">
        <v>904</v>
      </c>
      <c r="E377" t="s">
        <v>905</v>
      </c>
      <c r="F377" t="s">
        <v>1093</v>
      </c>
      <c r="G377" t="s">
        <v>21</v>
      </c>
      <c r="H377" s="5">
        <v>11609</v>
      </c>
      <c r="I377" s="1">
        <v>15102</v>
      </c>
      <c r="J377" s="1">
        <v>20408</v>
      </c>
      <c r="K377" s="1">
        <f t="shared" si="21"/>
        <v>967</v>
      </c>
      <c r="L377" s="1">
        <f t="shared" si="21"/>
        <v>1259</v>
      </c>
      <c r="M377" s="1">
        <f t="shared" si="21"/>
        <v>1701</v>
      </c>
      <c r="N377" t="str">
        <f t="shared" si="22"/>
        <v>OCCITANIE|34 - Hérault|CA du Pays de l'Or</v>
      </c>
      <c r="O377" t="str">
        <f t="shared" si="23"/>
        <v>Province</v>
      </c>
    </row>
    <row r="378" spans="1:15" x14ac:dyDescent="0.25">
      <c r="A378" t="s">
        <v>835</v>
      </c>
      <c r="B378" t="str">
        <f t="shared" si="20"/>
        <v>Hérault</v>
      </c>
      <c r="C378" t="s">
        <v>901</v>
      </c>
      <c r="D378" t="s">
        <v>906</v>
      </c>
      <c r="E378" t="s">
        <v>907</v>
      </c>
      <c r="F378" t="s">
        <v>1093</v>
      </c>
      <c r="G378" t="s">
        <v>21</v>
      </c>
      <c r="H378" s="5">
        <v>8896</v>
      </c>
      <c r="I378" s="1">
        <v>12468</v>
      </c>
      <c r="J378" s="1">
        <v>17400</v>
      </c>
      <c r="K378" s="1">
        <f t="shared" si="21"/>
        <v>741</v>
      </c>
      <c r="L378" s="1">
        <f t="shared" si="21"/>
        <v>1039</v>
      </c>
      <c r="M378" s="1">
        <f t="shared" si="21"/>
        <v>1450</v>
      </c>
      <c r="N378" t="str">
        <f t="shared" si="22"/>
        <v>OCCITANIE|34 - Hérault|CA Hérault-Méditerranée</v>
      </c>
      <c r="O378" t="str">
        <f t="shared" si="23"/>
        <v>Province</v>
      </c>
    </row>
    <row r="379" spans="1:15" x14ac:dyDescent="0.25">
      <c r="A379" t="s">
        <v>835</v>
      </c>
      <c r="B379" t="str">
        <f t="shared" si="20"/>
        <v>Hérault</v>
      </c>
      <c r="C379" t="s">
        <v>901</v>
      </c>
      <c r="D379" t="s">
        <v>908</v>
      </c>
      <c r="E379" t="s">
        <v>909</v>
      </c>
      <c r="F379" t="s">
        <v>1093</v>
      </c>
      <c r="G379" t="s">
        <v>21</v>
      </c>
      <c r="H379" s="5">
        <v>9167</v>
      </c>
      <c r="I379" s="1">
        <v>12655</v>
      </c>
      <c r="J379" s="1">
        <v>17528</v>
      </c>
      <c r="K379" s="1">
        <f t="shared" si="21"/>
        <v>764</v>
      </c>
      <c r="L379" s="1">
        <f t="shared" si="21"/>
        <v>1055</v>
      </c>
      <c r="M379" s="1">
        <f t="shared" si="21"/>
        <v>1461</v>
      </c>
      <c r="N379" t="str">
        <f t="shared" si="22"/>
        <v>OCCITANIE|34 - Hérault|CA Lunel Agglo</v>
      </c>
      <c r="O379" t="str">
        <f t="shared" si="23"/>
        <v>Province</v>
      </c>
    </row>
    <row r="380" spans="1:15" x14ac:dyDescent="0.25">
      <c r="A380" t="s">
        <v>835</v>
      </c>
      <c r="B380" t="str">
        <f t="shared" si="20"/>
        <v>Hérault</v>
      </c>
      <c r="C380" t="s">
        <v>901</v>
      </c>
      <c r="D380" t="s">
        <v>910</v>
      </c>
      <c r="E380" t="s">
        <v>911</v>
      </c>
      <c r="F380" t="s">
        <v>1093</v>
      </c>
      <c r="G380" t="s">
        <v>21</v>
      </c>
      <c r="H380" s="5">
        <v>9450</v>
      </c>
      <c r="I380" s="1">
        <v>13200</v>
      </c>
      <c r="J380" s="1">
        <v>18168</v>
      </c>
      <c r="K380" s="1">
        <f t="shared" si="21"/>
        <v>788</v>
      </c>
      <c r="L380" s="1">
        <f t="shared" si="21"/>
        <v>1100</v>
      </c>
      <c r="M380" s="1">
        <f t="shared" si="21"/>
        <v>1514</v>
      </c>
      <c r="N380" t="str">
        <f t="shared" si="22"/>
        <v>OCCITANIE|34 - Hérault|CA Sète Agglopôle Méditerranée</v>
      </c>
      <c r="O380" t="str">
        <f t="shared" si="23"/>
        <v>Province</v>
      </c>
    </row>
    <row r="381" spans="1:15" x14ac:dyDescent="0.25">
      <c r="A381" t="s">
        <v>835</v>
      </c>
      <c r="B381" t="str">
        <f t="shared" si="20"/>
        <v>Hérault</v>
      </c>
      <c r="C381" t="s">
        <v>901</v>
      </c>
      <c r="D381" t="s">
        <v>912</v>
      </c>
      <c r="E381" t="s">
        <v>913</v>
      </c>
      <c r="F381" t="s">
        <v>1093</v>
      </c>
      <c r="G381" t="s">
        <v>21</v>
      </c>
      <c r="H381" s="5">
        <v>8755</v>
      </c>
      <c r="I381" s="1">
        <v>12402</v>
      </c>
      <c r="J381" s="1">
        <v>16809</v>
      </c>
      <c r="K381" s="1">
        <f t="shared" si="21"/>
        <v>730</v>
      </c>
      <c r="L381" s="1">
        <f t="shared" si="21"/>
        <v>1034</v>
      </c>
      <c r="M381" s="1">
        <f t="shared" si="21"/>
        <v>1401</v>
      </c>
      <c r="N381" t="str">
        <f t="shared" si="22"/>
        <v>OCCITANIE|34 - Hérault|CC du Clermontais</v>
      </c>
      <c r="O381" t="str">
        <f t="shared" si="23"/>
        <v>Province</v>
      </c>
    </row>
    <row r="382" spans="1:15" x14ac:dyDescent="0.25">
      <c r="A382" t="s">
        <v>835</v>
      </c>
      <c r="B382" t="str">
        <f t="shared" si="20"/>
        <v>Hérault</v>
      </c>
      <c r="C382" t="s">
        <v>901</v>
      </c>
      <c r="D382" t="s">
        <v>914</v>
      </c>
      <c r="E382" t="s">
        <v>915</v>
      </c>
      <c r="F382" t="s">
        <v>1093</v>
      </c>
      <c r="G382" t="s">
        <v>21</v>
      </c>
      <c r="H382" s="5">
        <v>11707</v>
      </c>
      <c r="I382" s="1">
        <v>15714</v>
      </c>
      <c r="J382" s="1">
        <v>20724</v>
      </c>
      <c r="K382" s="1">
        <f t="shared" si="21"/>
        <v>976</v>
      </c>
      <c r="L382" s="1">
        <f t="shared" si="21"/>
        <v>1310</v>
      </c>
      <c r="M382" s="1">
        <f t="shared" si="21"/>
        <v>1727</v>
      </c>
      <c r="N382" t="str">
        <f t="shared" si="22"/>
        <v>OCCITANIE|34 - Hérault|CC du Grand Pic Saint-Loup</v>
      </c>
      <c r="O382" t="str">
        <f t="shared" si="23"/>
        <v>Province</v>
      </c>
    </row>
    <row r="383" spans="1:15" x14ac:dyDescent="0.25">
      <c r="A383" t="s">
        <v>835</v>
      </c>
      <c r="B383" t="str">
        <f t="shared" si="20"/>
        <v>Hérault</v>
      </c>
      <c r="C383" t="s">
        <v>901</v>
      </c>
      <c r="D383" t="s">
        <v>916</v>
      </c>
      <c r="E383" t="s">
        <v>917</v>
      </c>
      <c r="F383" t="s">
        <v>1093</v>
      </c>
      <c r="G383" t="s">
        <v>21</v>
      </c>
      <c r="H383" s="5">
        <v>8253</v>
      </c>
      <c r="I383" s="1">
        <v>11528</v>
      </c>
      <c r="J383" s="1">
        <v>14764</v>
      </c>
      <c r="K383" s="1">
        <f t="shared" si="21"/>
        <v>688</v>
      </c>
      <c r="L383" s="1">
        <f t="shared" si="21"/>
        <v>961</v>
      </c>
      <c r="M383" s="1">
        <f t="shared" si="21"/>
        <v>1230</v>
      </c>
      <c r="N383" t="str">
        <f t="shared" si="22"/>
        <v>OCCITANIE|34 - Hérault|CC Grand Orb Communauté de Communes en Languedoc</v>
      </c>
      <c r="O383" t="str">
        <f t="shared" si="23"/>
        <v>Province</v>
      </c>
    </row>
    <row r="384" spans="1:15" x14ac:dyDescent="0.25">
      <c r="A384" t="s">
        <v>835</v>
      </c>
      <c r="B384" t="str">
        <f t="shared" si="20"/>
        <v>Hérault</v>
      </c>
      <c r="C384" t="s">
        <v>901</v>
      </c>
      <c r="D384" t="s">
        <v>918</v>
      </c>
      <c r="E384" t="s">
        <v>919</v>
      </c>
      <c r="F384" t="s">
        <v>1093</v>
      </c>
      <c r="G384" t="s">
        <v>21</v>
      </c>
      <c r="H384" s="5">
        <v>8700</v>
      </c>
      <c r="I384" s="1">
        <v>11772</v>
      </c>
      <c r="J384" s="1">
        <v>15575</v>
      </c>
      <c r="K384" s="1">
        <f t="shared" si="21"/>
        <v>725</v>
      </c>
      <c r="L384" s="1">
        <f t="shared" si="21"/>
        <v>981</v>
      </c>
      <c r="M384" s="1">
        <f t="shared" si="21"/>
        <v>1298</v>
      </c>
      <c r="N384" t="str">
        <f t="shared" si="22"/>
        <v>OCCITANIE|34 - Hérault|CC Lodévois et Larzac</v>
      </c>
      <c r="O384" t="str">
        <f t="shared" si="23"/>
        <v>Province</v>
      </c>
    </row>
    <row r="385" spans="1:15" x14ac:dyDescent="0.25">
      <c r="A385" t="s">
        <v>835</v>
      </c>
      <c r="B385" t="str">
        <f t="shared" si="20"/>
        <v>Hérault</v>
      </c>
      <c r="C385" t="s">
        <v>901</v>
      </c>
      <c r="D385" t="s">
        <v>920</v>
      </c>
      <c r="E385" t="s">
        <v>921</v>
      </c>
      <c r="F385" t="s">
        <v>1093</v>
      </c>
      <c r="G385" t="s">
        <v>21</v>
      </c>
      <c r="H385" s="5">
        <v>9452</v>
      </c>
      <c r="I385" s="1">
        <v>13660</v>
      </c>
      <c r="J385" s="1">
        <v>19375</v>
      </c>
      <c r="K385" s="1">
        <f t="shared" si="21"/>
        <v>788</v>
      </c>
      <c r="L385" s="1">
        <f t="shared" si="21"/>
        <v>1138</v>
      </c>
      <c r="M385" s="1">
        <f t="shared" si="21"/>
        <v>1615</v>
      </c>
      <c r="N385" t="str">
        <f t="shared" si="22"/>
        <v>OCCITANIE|34 - Hérault|Montpellier Méditerranée Métropole</v>
      </c>
      <c r="O385" t="str">
        <f t="shared" si="23"/>
        <v>Province</v>
      </c>
    </row>
    <row r="386" spans="1:15" x14ac:dyDescent="0.25">
      <c r="A386" t="s">
        <v>835</v>
      </c>
      <c r="B386" t="str">
        <f t="shared" ref="B386:B449" si="24">MID(C386,6,LEN(C386))</f>
        <v>Lot</v>
      </c>
      <c r="C386" t="s">
        <v>923</v>
      </c>
      <c r="D386" t="s">
        <v>924</v>
      </c>
      <c r="E386" t="s">
        <v>925</v>
      </c>
      <c r="F386" t="s">
        <v>1093</v>
      </c>
      <c r="G386" t="s">
        <v>21</v>
      </c>
      <c r="H386" s="5">
        <v>8508</v>
      </c>
      <c r="I386" s="1">
        <v>12818</v>
      </c>
      <c r="J386" s="1">
        <v>17582</v>
      </c>
      <c r="K386" s="1">
        <f t="shared" ref="K386:M449" si="25">ROUND(H386/12,0)</f>
        <v>709</v>
      </c>
      <c r="L386" s="1">
        <f t="shared" si="25"/>
        <v>1068</v>
      </c>
      <c r="M386" s="1">
        <f t="shared" si="25"/>
        <v>1465</v>
      </c>
      <c r="N386" t="str">
        <f t="shared" ref="N386:N449" si="26">SUBSTITUTE(
   UPPER(SUBSTITUTE(TRIM(A386), CHAR(160), " ")) &amp; "|" &amp;
   SUBSTITUTE(TRIM(C386), CHAR(160), " ") &amp; "|" &amp;
   SUBSTITUTE(TRIM(D386), CHAR(160), " "),
   "–", "-"
)</f>
        <v>OCCITANIE|46 - Lot|CA du Grand Cahors</v>
      </c>
      <c r="O386" t="str">
        <f t="shared" ref="O386:O449" si="27">IF(A386="Hauts-de-France", "HDF",
IF(A386="Île-de-France", "IDF",
IF(OR(A386="Guadeloupe", A386="Martinique", A386="Guyane", A386="La Réunion", A386="Mayotte"), "OM", "Province")))</f>
        <v>Province</v>
      </c>
    </row>
    <row r="387" spans="1:15" x14ac:dyDescent="0.25">
      <c r="A387" t="s">
        <v>835</v>
      </c>
      <c r="B387" t="str">
        <f t="shared" si="24"/>
        <v>Lot</v>
      </c>
      <c r="C387" t="s">
        <v>923</v>
      </c>
      <c r="D387" t="s">
        <v>860</v>
      </c>
      <c r="E387" t="s">
        <v>861</v>
      </c>
      <c r="F387" t="s">
        <v>1093</v>
      </c>
      <c r="G387" t="s">
        <v>21</v>
      </c>
      <c r="H387" s="5">
        <v>8136</v>
      </c>
      <c r="I387" s="1">
        <v>12336</v>
      </c>
      <c r="J387" s="1">
        <v>16676</v>
      </c>
      <c r="K387" s="1">
        <f t="shared" si="25"/>
        <v>678</v>
      </c>
      <c r="L387" s="1">
        <f t="shared" si="25"/>
        <v>1028</v>
      </c>
      <c r="M387" s="1">
        <f t="shared" si="25"/>
        <v>1390</v>
      </c>
      <c r="N387" t="str">
        <f t="shared" si="26"/>
        <v>OCCITANIE|46 - Lot|CC Grand-Figeac</v>
      </c>
      <c r="O387" t="str">
        <f t="shared" si="27"/>
        <v>Province</v>
      </c>
    </row>
    <row r="388" spans="1:15" x14ac:dyDescent="0.25">
      <c r="A388" t="s">
        <v>835</v>
      </c>
      <c r="B388" t="str">
        <f t="shared" si="24"/>
        <v>Lozère</v>
      </c>
      <c r="C388" t="s">
        <v>927</v>
      </c>
      <c r="D388" t="s">
        <v>928</v>
      </c>
      <c r="E388" t="s">
        <v>929</v>
      </c>
      <c r="F388" t="s">
        <v>1093</v>
      </c>
      <c r="G388" t="s">
        <v>21</v>
      </c>
      <c r="H388" s="5">
        <v>9000</v>
      </c>
      <c r="I388" s="1">
        <v>12660</v>
      </c>
      <c r="J388" s="1">
        <v>18406</v>
      </c>
      <c r="K388" s="1">
        <f t="shared" si="25"/>
        <v>750</v>
      </c>
      <c r="L388" s="1">
        <f t="shared" si="25"/>
        <v>1055</v>
      </c>
      <c r="M388" s="1">
        <f t="shared" si="25"/>
        <v>1534</v>
      </c>
      <c r="N388" t="str">
        <f t="shared" si="26"/>
        <v>OCCITANIE|48 - Lozère|CC Coeur de Lozère</v>
      </c>
      <c r="O388" t="str">
        <f t="shared" si="27"/>
        <v>Province</v>
      </c>
    </row>
    <row r="389" spans="1:15" x14ac:dyDescent="0.25">
      <c r="A389" t="s">
        <v>835</v>
      </c>
      <c r="B389" t="str">
        <f t="shared" si="24"/>
        <v>Lozère</v>
      </c>
      <c r="C389" t="s">
        <v>927</v>
      </c>
      <c r="D389" t="s">
        <v>858</v>
      </c>
      <c r="E389" t="s">
        <v>859</v>
      </c>
      <c r="F389" t="s">
        <v>1093</v>
      </c>
      <c r="G389" t="s">
        <v>21</v>
      </c>
      <c r="H389" s="5">
        <v>10385</v>
      </c>
      <c r="I389" s="1">
        <v>13331</v>
      </c>
      <c r="J389" s="1">
        <v>18000</v>
      </c>
      <c r="K389" s="1">
        <f t="shared" si="25"/>
        <v>865</v>
      </c>
      <c r="L389" s="1">
        <f t="shared" si="25"/>
        <v>1111</v>
      </c>
      <c r="M389" s="1">
        <f t="shared" si="25"/>
        <v>1500</v>
      </c>
      <c r="N389" t="str">
        <f t="shared" si="26"/>
        <v>OCCITANIE|48 - Lozère|CC de Millau Grands Causses</v>
      </c>
      <c r="O389" t="str">
        <f t="shared" si="27"/>
        <v>Province</v>
      </c>
    </row>
    <row r="390" spans="1:15" x14ac:dyDescent="0.25">
      <c r="A390" t="s">
        <v>835</v>
      </c>
      <c r="B390" t="str">
        <f t="shared" si="24"/>
        <v>Hautes-Pyrénées</v>
      </c>
      <c r="C390" t="s">
        <v>931</v>
      </c>
      <c r="D390" t="s">
        <v>932</v>
      </c>
      <c r="E390" t="s">
        <v>933</v>
      </c>
      <c r="F390" t="s">
        <v>1093</v>
      </c>
      <c r="G390" t="s">
        <v>21</v>
      </c>
      <c r="H390" s="5">
        <v>8980</v>
      </c>
      <c r="I390" s="1">
        <v>12452</v>
      </c>
      <c r="J390" s="1">
        <v>17496</v>
      </c>
      <c r="K390" s="1">
        <f t="shared" si="25"/>
        <v>748</v>
      </c>
      <c r="L390" s="1">
        <f t="shared" si="25"/>
        <v>1038</v>
      </c>
      <c r="M390" s="1">
        <f t="shared" si="25"/>
        <v>1458</v>
      </c>
      <c r="N390" t="str">
        <f t="shared" si="26"/>
        <v>OCCITANIE|65 - Hautes-Pyrénées|CA Tarbes-Lourdes-Pyrénées</v>
      </c>
      <c r="O390" t="str">
        <f t="shared" si="27"/>
        <v>Province</v>
      </c>
    </row>
    <row r="391" spans="1:15" x14ac:dyDescent="0.25">
      <c r="A391" t="s">
        <v>835</v>
      </c>
      <c r="B391" t="str">
        <f t="shared" si="24"/>
        <v>Pyrénées Orientales</v>
      </c>
      <c r="C391" t="s">
        <v>935</v>
      </c>
      <c r="D391" t="s">
        <v>936</v>
      </c>
      <c r="E391" t="s">
        <v>937</v>
      </c>
      <c r="F391" t="s">
        <v>1093</v>
      </c>
      <c r="G391" t="s">
        <v>21</v>
      </c>
      <c r="H391" s="5">
        <v>8869</v>
      </c>
      <c r="I391" s="1">
        <v>12999</v>
      </c>
      <c r="J391" s="1">
        <v>17802</v>
      </c>
      <c r="K391" s="1">
        <f t="shared" si="25"/>
        <v>739</v>
      </c>
      <c r="L391" s="1">
        <f t="shared" si="25"/>
        <v>1083</v>
      </c>
      <c r="M391" s="1">
        <f t="shared" si="25"/>
        <v>1484</v>
      </c>
      <c r="N391" t="str">
        <f t="shared" si="26"/>
        <v>OCCITANIE|66 - Pyrénées Orientales|CC des Albères, de la Côte Vermeille et de l'Illibéris</v>
      </c>
      <c r="O391" t="str">
        <f t="shared" si="27"/>
        <v>Province</v>
      </c>
    </row>
    <row r="392" spans="1:15" x14ac:dyDescent="0.25">
      <c r="A392" t="s">
        <v>835</v>
      </c>
      <c r="B392" t="str">
        <f t="shared" si="24"/>
        <v>Pyrénées Orientales</v>
      </c>
      <c r="C392" t="s">
        <v>935</v>
      </c>
      <c r="D392" t="s">
        <v>938</v>
      </c>
      <c r="E392" t="s">
        <v>939</v>
      </c>
      <c r="F392" t="s">
        <v>1093</v>
      </c>
      <c r="G392" t="s">
        <v>21</v>
      </c>
      <c r="H392" s="5">
        <v>8211</v>
      </c>
      <c r="I392" s="1">
        <v>12288</v>
      </c>
      <c r="J392" s="1">
        <v>17076</v>
      </c>
      <c r="K392" s="1">
        <f t="shared" si="25"/>
        <v>684</v>
      </c>
      <c r="L392" s="1">
        <f t="shared" si="25"/>
        <v>1024</v>
      </c>
      <c r="M392" s="1">
        <f t="shared" si="25"/>
        <v>1423</v>
      </c>
      <c r="N392" t="str">
        <f t="shared" si="26"/>
        <v>OCCITANIE|66 - Pyrénées Orientales|CU Perpignan Méditerranée Métropole</v>
      </c>
      <c r="O392" t="str">
        <f t="shared" si="27"/>
        <v>Province</v>
      </c>
    </row>
    <row r="393" spans="1:15" x14ac:dyDescent="0.25">
      <c r="A393" t="s">
        <v>835</v>
      </c>
      <c r="B393" t="str">
        <f t="shared" si="24"/>
        <v>Tarn</v>
      </c>
      <c r="C393" t="s">
        <v>941</v>
      </c>
      <c r="D393" t="s">
        <v>942</v>
      </c>
      <c r="E393" t="s">
        <v>943</v>
      </c>
      <c r="F393" t="s">
        <v>1093</v>
      </c>
      <c r="G393" t="s">
        <v>21</v>
      </c>
      <c r="H393" s="5">
        <v>7579</v>
      </c>
      <c r="I393" s="1">
        <v>11309</v>
      </c>
      <c r="J393" s="1">
        <v>14838</v>
      </c>
      <c r="K393" s="1">
        <f t="shared" si="25"/>
        <v>632</v>
      </c>
      <c r="L393" s="1">
        <f t="shared" si="25"/>
        <v>942</v>
      </c>
      <c r="M393" s="1">
        <f t="shared" si="25"/>
        <v>1237</v>
      </c>
      <c r="N393" t="str">
        <f t="shared" si="26"/>
        <v>OCCITANIE|81 - Tarn|CA de Castres Mazamet</v>
      </c>
      <c r="O393" t="str">
        <f t="shared" si="27"/>
        <v>Province</v>
      </c>
    </row>
    <row r="394" spans="1:15" x14ac:dyDescent="0.25">
      <c r="A394" t="s">
        <v>835</v>
      </c>
      <c r="B394" t="str">
        <f t="shared" si="24"/>
        <v>Tarn</v>
      </c>
      <c r="C394" t="s">
        <v>941</v>
      </c>
      <c r="D394" t="s">
        <v>944</v>
      </c>
      <c r="E394" t="s">
        <v>945</v>
      </c>
      <c r="F394" t="s">
        <v>1093</v>
      </c>
      <c r="G394" t="s">
        <v>21</v>
      </c>
      <c r="H394" s="5">
        <v>8640</v>
      </c>
      <c r="I394" s="1">
        <v>12408</v>
      </c>
      <c r="J394" s="1">
        <v>17173</v>
      </c>
      <c r="K394" s="1">
        <f t="shared" si="25"/>
        <v>720</v>
      </c>
      <c r="L394" s="1">
        <f t="shared" si="25"/>
        <v>1034</v>
      </c>
      <c r="M394" s="1">
        <f t="shared" si="25"/>
        <v>1431</v>
      </c>
      <c r="N394" t="str">
        <f t="shared" si="26"/>
        <v>OCCITANIE|81 - Tarn|CA de l'Albigeois (C2A)</v>
      </c>
      <c r="O394" t="str">
        <f t="shared" si="27"/>
        <v>Province</v>
      </c>
    </row>
    <row r="395" spans="1:15" x14ac:dyDescent="0.25">
      <c r="A395" t="s">
        <v>835</v>
      </c>
      <c r="B395" t="str">
        <f t="shared" si="24"/>
        <v>Tarn</v>
      </c>
      <c r="C395" t="s">
        <v>941</v>
      </c>
      <c r="D395" t="s">
        <v>946</v>
      </c>
      <c r="E395" t="s">
        <v>947</v>
      </c>
      <c r="F395" t="s">
        <v>1093</v>
      </c>
      <c r="G395" t="s">
        <v>21</v>
      </c>
      <c r="H395" s="5">
        <v>8828</v>
      </c>
      <c r="I395" s="1">
        <v>12396</v>
      </c>
      <c r="J395" s="1">
        <v>16914</v>
      </c>
      <c r="K395" s="1">
        <f t="shared" si="25"/>
        <v>736</v>
      </c>
      <c r="L395" s="1">
        <f t="shared" si="25"/>
        <v>1033</v>
      </c>
      <c r="M395" s="1">
        <f t="shared" si="25"/>
        <v>1410</v>
      </c>
      <c r="N395" t="str">
        <f t="shared" si="26"/>
        <v>OCCITANIE|81 - Tarn|CA Gaillac-Graulhet</v>
      </c>
      <c r="O395" t="str">
        <f t="shared" si="27"/>
        <v>Province</v>
      </c>
    </row>
    <row r="396" spans="1:15" x14ac:dyDescent="0.25">
      <c r="A396" t="s">
        <v>835</v>
      </c>
      <c r="B396" t="str">
        <f t="shared" si="24"/>
        <v>Tarn</v>
      </c>
      <c r="C396" t="s">
        <v>941</v>
      </c>
      <c r="D396" t="s">
        <v>948</v>
      </c>
      <c r="E396" t="s">
        <v>949</v>
      </c>
      <c r="F396" t="s">
        <v>1093</v>
      </c>
      <c r="G396" t="s">
        <v>21</v>
      </c>
      <c r="H396" s="5">
        <v>8148</v>
      </c>
      <c r="I396" s="1">
        <v>12240</v>
      </c>
      <c r="J396" s="1">
        <v>16077</v>
      </c>
      <c r="K396" s="1">
        <f t="shared" si="25"/>
        <v>679</v>
      </c>
      <c r="L396" s="1">
        <f t="shared" si="25"/>
        <v>1020</v>
      </c>
      <c r="M396" s="1">
        <f t="shared" si="25"/>
        <v>1340</v>
      </c>
      <c r="N396" t="str">
        <f t="shared" si="26"/>
        <v>OCCITANIE|81 - Tarn|CC Carmausin-Ségala</v>
      </c>
      <c r="O396" t="str">
        <f t="shared" si="27"/>
        <v>Province</v>
      </c>
    </row>
    <row r="397" spans="1:15" x14ac:dyDescent="0.25">
      <c r="A397" t="s">
        <v>835</v>
      </c>
      <c r="B397" t="str">
        <f t="shared" si="24"/>
        <v>Tarn</v>
      </c>
      <c r="C397" t="s">
        <v>941</v>
      </c>
      <c r="D397" t="s">
        <v>890</v>
      </c>
      <c r="E397" t="s">
        <v>891</v>
      </c>
      <c r="F397" t="s">
        <v>1093</v>
      </c>
      <c r="G397" t="s">
        <v>21</v>
      </c>
      <c r="H397" s="5">
        <v>10257</v>
      </c>
      <c r="I397" s="1">
        <v>13485</v>
      </c>
      <c r="J397" s="1">
        <v>17882</v>
      </c>
      <c r="K397" s="1">
        <f t="shared" si="25"/>
        <v>855</v>
      </c>
      <c r="L397" s="1">
        <f t="shared" si="25"/>
        <v>1124</v>
      </c>
      <c r="M397" s="1">
        <f t="shared" si="25"/>
        <v>1490</v>
      </c>
      <c r="N397" t="str">
        <f t="shared" si="26"/>
        <v>OCCITANIE|81 - Tarn|CC Tarn-Agout</v>
      </c>
      <c r="O397" t="str">
        <f t="shared" si="27"/>
        <v>Province</v>
      </c>
    </row>
    <row r="398" spans="1:15" x14ac:dyDescent="0.25">
      <c r="A398" t="s">
        <v>835</v>
      </c>
      <c r="B398" t="str">
        <f t="shared" si="24"/>
        <v>Tarn-et-Garonne</v>
      </c>
      <c r="C398" t="s">
        <v>951</v>
      </c>
      <c r="D398" t="s">
        <v>952</v>
      </c>
      <c r="E398" t="s">
        <v>953</v>
      </c>
      <c r="F398" t="s">
        <v>1093</v>
      </c>
      <c r="G398" t="s">
        <v>21</v>
      </c>
      <c r="H398" s="5">
        <v>8888</v>
      </c>
      <c r="I398" s="1">
        <v>12693</v>
      </c>
      <c r="J398" s="1">
        <v>17655</v>
      </c>
      <c r="K398" s="1">
        <f t="shared" si="25"/>
        <v>741</v>
      </c>
      <c r="L398" s="1">
        <f t="shared" si="25"/>
        <v>1058</v>
      </c>
      <c r="M398" s="1">
        <f t="shared" si="25"/>
        <v>1471</v>
      </c>
      <c r="N398" t="str">
        <f t="shared" si="26"/>
        <v>OCCITANIE|82 - Tarn-et-Garonne|CA Grand Montauban</v>
      </c>
      <c r="O398" t="str">
        <f t="shared" si="27"/>
        <v>Province</v>
      </c>
    </row>
    <row r="399" spans="1:15" x14ac:dyDescent="0.25">
      <c r="A399" t="s">
        <v>835</v>
      </c>
      <c r="B399" t="str">
        <f t="shared" si="24"/>
        <v>Tarn-et-Garonne</v>
      </c>
      <c r="C399" t="s">
        <v>951</v>
      </c>
      <c r="D399" t="s">
        <v>954</v>
      </c>
      <c r="E399" t="s">
        <v>955</v>
      </c>
      <c r="F399" t="s">
        <v>1093</v>
      </c>
      <c r="G399" t="s">
        <v>21</v>
      </c>
      <c r="H399" s="5">
        <v>8449</v>
      </c>
      <c r="I399" s="1">
        <v>12192</v>
      </c>
      <c r="J399" s="1">
        <v>16177</v>
      </c>
      <c r="K399" s="1">
        <f t="shared" si="25"/>
        <v>704</v>
      </c>
      <c r="L399" s="1">
        <f t="shared" si="25"/>
        <v>1016</v>
      </c>
      <c r="M399" s="1">
        <f t="shared" si="25"/>
        <v>1348</v>
      </c>
      <c r="N399" t="str">
        <f t="shared" si="26"/>
        <v>OCCITANIE|82 - Tarn-et-Garonne|CC Terres des Confluences</v>
      </c>
      <c r="O399" t="str">
        <f t="shared" si="27"/>
        <v>Province</v>
      </c>
    </row>
    <row r="400" spans="1:15" x14ac:dyDescent="0.25">
      <c r="A400" t="s">
        <v>956</v>
      </c>
      <c r="B400" t="str">
        <f t="shared" si="24"/>
        <v>Loire-Atlantique</v>
      </c>
      <c r="C400" t="s">
        <v>958</v>
      </c>
      <c r="D400" t="s">
        <v>959</v>
      </c>
      <c r="E400" t="s">
        <v>960</v>
      </c>
      <c r="F400" t="s">
        <v>1093</v>
      </c>
      <c r="G400" t="s">
        <v>21</v>
      </c>
      <c r="H400" s="5">
        <v>11946</v>
      </c>
      <c r="I400" s="1">
        <v>15427</v>
      </c>
      <c r="J400" s="1">
        <v>19791</v>
      </c>
      <c r="K400" s="1">
        <f t="shared" si="25"/>
        <v>996</v>
      </c>
      <c r="L400" s="1">
        <f t="shared" si="25"/>
        <v>1286</v>
      </c>
      <c r="M400" s="1">
        <f t="shared" si="25"/>
        <v>1649</v>
      </c>
      <c r="N400" t="str">
        <f t="shared" si="26"/>
        <v>PAYS DE LA LOIRE|44 - Loire-Atlantique|CA Clisson Sèvre et Maine Agglo</v>
      </c>
      <c r="O400" t="str">
        <f t="shared" si="27"/>
        <v>Province</v>
      </c>
    </row>
    <row r="401" spans="1:15" x14ac:dyDescent="0.25">
      <c r="A401" t="s">
        <v>956</v>
      </c>
      <c r="B401" t="str">
        <f t="shared" si="24"/>
        <v>Loire-Atlantique</v>
      </c>
      <c r="C401" t="s">
        <v>958</v>
      </c>
      <c r="D401" t="s">
        <v>252</v>
      </c>
      <c r="E401" t="s">
        <v>253</v>
      </c>
      <c r="F401" t="s">
        <v>1093</v>
      </c>
      <c r="G401" t="s">
        <v>21</v>
      </c>
      <c r="H401" s="5">
        <v>12192</v>
      </c>
      <c r="I401" s="1">
        <v>16173</v>
      </c>
      <c r="J401" s="1">
        <v>20400</v>
      </c>
      <c r="K401" s="1">
        <f t="shared" si="25"/>
        <v>1016</v>
      </c>
      <c r="L401" s="1">
        <f t="shared" si="25"/>
        <v>1348</v>
      </c>
      <c r="M401" s="1">
        <f t="shared" si="25"/>
        <v>1700</v>
      </c>
      <c r="N401" t="str">
        <f t="shared" si="26"/>
        <v>PAYS DE LA LOIRE|44 - Loire-Atlantique|CA de la Presqu'île de Guérande Atlantique (Cap Atlantique)</v>
      </c>
      <c r="O401" t="str">
        <f t="shared" si="27"/>
        <v>Province</v>
      </c>
    </row>
    <row r="402" spans="1:15" x14ac:dyDescent="0.25">
      <c r="A402" t="s">
        <v>956</v>
      </c>
      <c r="B402" t="str">
        <f t="shared" si="24"/>
        <v>Loire-Atlantique</v>
      </c>
      <c r="C402" t="s">
        <v>958</v>
      </c>
      <c r="D402" t="s">
        <v>961</v>
      </c>
      <c r="E402" t="s">
        <v>962</v>
      </c>
      <c r="F402" t="s">
        <v>1093</v>
      </c>
      <c r="G402" t="s">
        <v>21</v>
      </c>
      <c r="H402" s="5">
        <v>11168</v>
      </c>
      <c r="I402" s="1">
        <v>14955</v>
      </c>
      <c r="J402" s="1">
        <v>20061</v>
      </c>
      <c r="K402" s="1">
        <f t="shared" si="25"/>
        <v>931</v>
      </c>
      <c r="L402" s="1">
        <f t="shared" si="25"/>
        <v>1246</v>
      </c>
      <c r="M402" s="1">
        <f t="shared" si="25"/>
        <v>1672</v>
      </c>
      <c r="N402" t="str">
        <f t="shared" si="26"/>
        <v>PAYS DE LA LOIRE|44 - Loire-Atlantique|CA de la Région Nazairienne et de l'Estuaire (CARENE)</v>
      </c>
      <c r="O402" t="str">
        <f t="shared" si="27"/>
        <v>Province</v>
      </c>
    </row>
    <row r="403" spans="1:15" x14ac:dyDescent="0.25">
      <c r="A403" t="s">
        <v>956</v>
      </c>
      <c r="B403" t="str">
        <f t="shared" si="24"/>
        <v>Loire-Atlantique</v>
      </c>
      <c r="C403" t="s">
        <v>958</v>
      </c>
      <c r="D403" t="s">
        <v>963</v>
      </c>
      <c r="E403" t="s">
        <v>964</v>
      </c>
      <c r="F403" t="s">
        <v>1093</v>
      </c>
      <c r="G403" t="s">
        <v>21</v>
      </c>
      <c r="H403" s="5">
        <v>11820</v>
      </c>
      <c r="I403" s="1">
        <v>14808</v>
      </c>
      <c r="J403" s="1">
        <v>19428</v>
      </c>
      <c r="K403" s="1">
        <f t="shared" si="25"/>
        <v>985</v>
      </c>
      <c r="L403" s="1">
        <f t="shared" si="25"/>
        <v>1234</v>
      </c>
      <c r="M403" s="1">
        <f t="shared" si="25"/>
        <v>1619</v>
      </c>
      <c r="N403" t="str">
        <f t="shared" si="26"/>
        <v>PAYS DE LA LOIRE|44 - Loire-Atlantique|CA Pornic Agglo Pays de Retz</v>
      </c>
      <c r="O403" t="str">
        <f t="shared" si="27"/>
        <v>Province</v>
      </c>
    </row>
    <row r="404" spans="1:15" x14ac:dyDescent="0.25">
      <c r="A404" t="s">
        <v>956</v>
      </c>
      <c r="B404" t="str">
        <f t="shared" si="24"/>
        <v>Loire-Atlantique</v>
      </c>
      <c r="C404" t="s">
        <v>958</v>
      </c>
      <c r="D404" t="s">
        <v>244</v>
      </c>
      <c r="E404" t="s">
        <v>245</v>
      </c>
      <c r="F404" t="s">
        <v>1093</v>
      </c>
      <c r="G404" t="s">
        <v>21</v>
      </c>
      <c r="H404" s="5">
        <v>9535</v>
      </c>
      <c r="I404" s="1">
        <v>12615</v>
      </c>
      <c r="J404" s="1">
        <v>16944</v>
      </c>
      <c r="K404" s="1">
        <f t="shared" si="25"/>
        <v>795</v>
      </c>
      <c r="L404" s="1">
        <f t="shared" si="25"/>
        <v>1051</v>
      </c>
      <c r="M404" s="1">
        <f t="shared" si="25"/>
        <v>1412</v>
      </c>
      <c r="N404" t="str">
        <f t="shared" si="26"/>
        <v>PAYS DE LA LOIRE|44 - Loire-Atlantique|CA Redon Agglomération</v>
      </c>
      <c r="O404" t="str">
        <f t="shared" si="27"/>
        <v>Province</v>
      </c>
    </row>
    <row r="405" spans="1:15" x14ac:dyDescent="0.25">
      <c r="A405" t="s">
        <v>956</v>
      </c>
      <c r="B405" t="str">
        <f t="shared" si="24"/>
        <v>Loire-Atlantique</v>
      </c>
      <c r="C405" t="s">
        <v>958</v>
      </c>
      <c r="D405" t="s">
        <v>965</v>
      </c>
      <c r="E405" t="s">
        <v>966</v>
      </c>
      <c r="F405" t="s">
        <v>1093</v>
      </c>
      <c r="G405" t="s">
        <v>21</v>
      </c>
      <c r="H405" s="5">
        <v>10455</v>
      </c>
      <c r="I405" s="1">
        <v>13224</v>
      </c>
      <c r="J405" s="1">
        <v>17893</v>
      </c>
      <c r="K405" s="1">
        <f t="shared" si="25"/>
        <v>871</v>
      </c>
      <c r="L405" s="1">
        <f t="shared" si="25"/>
        <v>1102</v>
      </c>
      <c r="M405" s="1">
        <f t="shared" si="25"/>
        <v>1491</v>
      </c>
      <c r="N405" t="str">
        <f t="shared" si="26"/>
        <v>PAYS DE LA LOIRE|44 - Loire-Atlantique|CC Châteaubriant-Derval</v>
      </c>
      <c r="O405" t="str">
        <f t="shared" si="27"/>
        <v>Province</v>
      </c>
    </row>
    <row r="406" spans="1:15" x14ac:dyDescent="0.25">
      <c r="A406" t="s">
        <v>956</v>
      </c>
      <c r="B406" t="str">
        <f t="shared" si="24"/>
        <v>Loire-Atlantique</v>
      </c>
      <c r="C406" t="s">
        <v>958</v>
      </c>
      <c r="D406" t="s">
        <v>967</v>
      </c>
      <c r="E406" t="s">
        <v>968</v>
      </c>
      <c r="F406" t="s">
        <v>1093</v>
      </c>
      <c r="G406" t="s">
        <v>21</v>
      </c>
      <c r="H406" s="5">
        <v>12041</v>
      </c>
      <c r="I406" s="1">
        <v>15260</v>
      </c>
      <c r="J406" s="1">
        <v>19752</v>
      </c>
      <c r="K406" s="1">
        <f t="shared" si="25"/>
        <v>1003</v>
      </c>
      <c r="L406" s="1">
        <f t="shared" si="25"/>
        <v>1272</v>
      </c>
      <c r="M406" s="1">
        <f t="shared" si="25"/>
        <v>1646</v>
      </c>
      <c r="N406" t="str">
        <f t="shared" si="26"/>
        <v>PAYS DE LA LOIRE|44 - Loire-Atlantique|CC d'Erdre et Gesvres</v>
      </c>
      <c r="O406" t="str">
        <f t="shared" si="27"/>
        <v>Province</v>
      </c>
    </row>
    <row r="407" spans="1:15" x14ac:dyDescent="0.25">
      <c r="A407" t="s">
        <v>956</v>
      </c>
      <c r="B407" t="str">
        <f t="shared" si="24"/>
        <v>Loire-Atlantique</v>
      </c>
      <c r="C407" t="s">
        <v>958</v>
      </c>
      <c r="D407" t="s">
        <v>969</v>
      </c>
      <c r="E407" t="s">
        <v>970</v>
      </c>
      <c r="F407" t="s">
        <v>1093</v>
      </c>
      <c r="G407" t="s">
        <v>21</v>
      </c>
      <c r="H407" s="5">
        <v>11318</v>
      </c>
      <c r="I407" s="1">
        <v>14352</v>
      </c>
      <c r="J407" s="1">
        <v>18960</v>
      </c>
      <c r="K407" s="1">
        <f t="shared" si="25"/>
        <v>943</v>
      </c>
      <c r="L407" s="1">
        <f t="shared" si="25"/>
        <v>1196</v>
      </c>
      <c r="M407" s="1">
        <f t="shared" si="25"/>
        <v>1580</v>
      </c>
      <c r="N407" t="str">
        <f t="shared" si="26"/>
        <v>PAYS DE LA LOIRE|44 - Loire-Atlantique|CC du Pays d'Ancenis</v>
      </c>
      <c r="O407" t="str">
        <f t="shared" si="27"/>
        <v>Province</v>
      </c>
    </row>
    <row r="408" spans="1:15" x14ac:dyDescent="0.25">
      <c r="A408" t="s">
        <v>956</v>
      </c>
      <c r="B408" t="str">
        <f t="shared" si="24"/>
        <v>Loire-Atlantique</v>
      </c>
      <c r="C408" t="s">
        <v>958</v>
      </c>
      <c r="D408" t="s">
        <v>971</v>
      </c>
      <c r="E408" t="s">
        <v>972</v>
      </c>
      <c r="F408" t="s">
        <v>1093</v>
      </c>
      <c r="G408" t="s">
        <v>21</v>
      </c>
      <c r="H408" s="5">
        <v>11661</v>
      </c>
      <c r="I408" s="1">
        <v>14532</v>
      </c>
      <c r="J408" s="1">
        <v>19050</v>
      </c>
      <c r="K408" s="1">
        <f t="shared" si="25"/>
        <v>972</v>
      </c>
      <c r="L408" s="1">
        <f t="shared" si="25"/>
        <v>1211</v>
      </c>
      <c r="M408" s="1">
        <f t="shared" si="25"/>
        <v>1588</v>
      </c>
      <c r="N408" t="str">
        <f t="shared" si="26"/>
        <v>PAYS DE LA LOIRE|44 - Loire-Atlantique|CC du Pays de Pontchâteau St-Gildas-des-Bois</v>
      </c>
      <c r="O408" t="str">
        <f t="shared" si="27"/>
        <v>Province</v>
      </c>
    </row>
    <row r="409" spans="1:15" x14ac:dyDescent="0.25">
      <c r="A409" t="s">
        <v>956</v>
      </c>
      <c r="B409" t="str">
        <f t="shared" si="24"/>
        <v>Loire-Atlantique</v>
      </c>
      <c r="C409" t="s">
        <v>958</v>
      </c>
      <c r="D409" t="s">
        <v>973</v>
      </c>
      <c r="E409" t="s">
        <v>974</v>
      </c>
      <c r="F409" t="s">
        <v>1093</v>
      </c>
      <c r="G409" t="s">
        <v>21</v>
      </c>
      <c r="H409" s="5">
        <v>11652</v>
      </c>
      <c r="I409" s="1">
        <v>15200</v>
      </c>
      <c r="J409" s="1">
        <v>19452</v>
      </c>
      <c r="K409" s="1">
        <f t="shared" si="25"/>
        <v>971</v>
      </c>
      <c r="L409" s="1">
        <f t="shared" si="25"/>
        <v>1267</v>
      </c>
      <c r="M409" s="1">
        <f t="shared" si="25"/>
        <v>1621</v>
      </c>
      <c r="N409" t="str">
        <f t="shared" si="26"/>
        <v>PAYS DE LA LOIRE|44 - Loire-Atlantique|CC du Sud Estuaire</v>
      </c>
      <c r="O409" t="str">
        <f t="shared" si="27"/>
        <v>Province</v>
      </c>
    </row>
    <row r="410" spans="1:15" x14ac:dyDescent="0.25">
      <c r="A410" t="s">
        <v>956</v>
      </c>
      <c r="B410" t="str">
        <f t="shared" si="24"/>
        <v>Loire-Atlantique</v>
      </c>
      <c r="C410" t="s">
        <v>958</v>
      </c>
      <c r="D410" t="s">
        <v>975</v>
      </c>
      <c r="E410" t="s">
        <v>976</v>
      </c>
      <c r="F410" t="s">
        <v>1093</v>
      </c>
      <c r="G410" t="s">
        <v>21</v>
      </c>
      <c r="H410" s="5">
        <v>10745</v>
      </c>
      <c r="I410" s="1">
        <v>14712</v>
      </c>
      <c r="J410" s="1">
        <v>19830</v>
      </c>
      <c r="K410" s="1">
        <f t="shared" si="25"/>
        <v>895</v>
      </c>
      <c r="L410" s="1">
        <f t="shared" si="25"/>
        <v>1226</v>
      </c>
      <c r="M410" s="1">
        <f t="shared" si="25"/>
        <v>1653</v>
      </c>
      <c r="N410" t="str">
        <f t="shared" si="26"/>
        <v>PAYS DE LA LOIRE|44 - Loire-Atlantique|Nantes Métropole</v>
      </c>
      <c r="O410" t="str">
        <f t="shared" si="27"/>
        <v>Province</v>
      </c>
    </row>
    <row r="411" spans="1:15" x14ac:dyDescent="0.25">
      <c r="A411" t="s">
        <v>956</v>
      </c>
      <c r="B411" t="str">
        <f t="shared" si="24"/>
        <v>Maine-et-Loire</v>
      </c>
      <c r="C411" t="s">
        <v>978</v>
      </c>
      <c r="D411" t="s">
        <v>979</v>
      </c>
      <c r="E411" t="s">
        <v>980</v>
      </c>
      <c r="F411" t="s">
        <v>1093</v>
      </c>
      <c r="G411" t="s">
        <v>21</v>
      </c>
      <c r="H411" s="5">
        <v>10716</v>
      </c>
      <c r="I411" s="1">
        <v>14779</v>
      </c>
      <c r="J411" s="1">
        <v>19624</v>
      </c>
      <c r="K411" s="1">
        <f t="shared" si="25"/>
        <v>893</v>
      </c>
      <c r="L411" s="1">
        <f t="shared" si="25"/>
        <v>1232</v>
      </c>
      <c r="M411" s="1">
        <f t="shared" si="25"/>
        <v>1635</v>
      </c>
      <c r="N411" t="str">
        <f t="shared" si="26"/>
        <v>PAYS DE LA LOIRE|49 - Maine-et-Loire|CA Cholet Agglomération</v>
      </c>
      <c r="O411" t="str">
        <f t="shared" si="27"/>
        <v>Province</v>
      </c>
    </row>
    <row r="412" spans="1:15" x14ac:dyDescent="0.25">
      <c r="A412" t="s">
        <v>956</v>
      </c>
      <c r="B412" t="str">
        <f t="shared" si="24"/>
        <v>Maine-et-Loire</v>
      </c>
      <c r="C412" t="s">
        <v>978</v>
      </c>
      <c r="D412" t="s">
        <v>981</v>
      </c>
      <c r="E412" t="s">
        <v>982</v>
      </c>
      <c r="F412" t="s">
        <v>1093</v>
      </c>
      <c r="G412" t="s">
        <v>21</v>
      </c>
      <c r="H412" s="5">
        <v>11891</v>
      </c>
      <c r="I412" s="1">
        <v>15158</v>
      </c>
      <c r="J412" s="1">
        <v>19566</v>
      </c>
      <c r="K412" s="1">
        <f t="shared" si="25"/>
        <v>991</v>
      </c>
      <c r="L412" s="1">
        <f t="shared" si="25"/>
        <v>1263</v>
      </c>
      <c r="M412" s="1">
        <f t="shared" si="25"/>
        <v>1631</v>
      </c>
      <c r="N412" t="str">
        <f t="shared" si="26"/>
        <v>PAYS DE LA LOIRE|49 - Maine-et-Loire|CA Mauges Communauté</v>
      </c>
      <c r="O412" t="str">
        <f t="shared" si="27"/>
        <v>Province</v>
      </c>
    </row>
    <row r="413" spans="1:15" x14ac:dyDescent="0.25">
      <c r="A413" t="s">
        <v>956</v>
      </c>
      <c r="B413" t="str">
        <f t="shared" si="24"/>
        <v>Maine-et-Loire</v>
      </c>
      <c r="C413" t="s">
        <v>978</v>
      </c>
      <c r="D413" t="s">
        <v>983</v>
      </c>
      <c r="E413" t="s">
        <v>984</v>
      </c>
      <c r="F413" t="s">
        <v>1093</v>
      </c>
      <c r="G413" t="s">
        <v>21</v>
      </c>
      <c r="H413" s="5">
        <v>10307</v>
      </c>
      <c r="I413" s="1">
        <v>13984</v>
      </c>
      <c r="J413" s="1">
        <v>18517</v>
      </c>
      <c r="K413" s="1">
        <f t="shared" si="25"/>
        <v>859</v>
      </c>
      <c r="L413" s="1">
        <f t="shared" si="25"/>
        <v>1165</v>
      </c>
      <c r="M413" s="1">
        <f t="shared" si="25"/>
        <v>1543</v>
      </c>
      <c r="N413" t="str">
        <f t="shared" si="26"/>
        <v>PAYS DE LA LOIRE|49 - Maine-et-Loire|CA Saumur Val de Loire</v>
      </c>
      <c r="O413" t="str">
        <f t="shared" si="27"/>
        <v>Province</v>
      </c>
    </row>
    <row r="414" spans="1:15" x14ac:dyDescent="0.25">
      <c r="A414" t="s">
        <v>956</v>
      </c>
      <c r="B414" t="str">
        <f t="shared" si="24"/>
        <v>Maine-et-Loire</v>
      </c>
      <c r="C414" t="s">
        <v>978</v>
      </c>
      <c r="D414" t="s">
        <v>985</v>
      </c>
      <c r="E414" t="s">
        <v>986</v>
      </c>
      <c r="F414" t="s">
        <v>1093</v>
      </c>
      <c r="G414" t="s">
        <v>21</v>
      </c>
      <c r="H414" s="5">
        <v>11088</v>
      </c>
      <c r="I414" s="1">
        <v>14364</v>
      </c>
      <c r="J414" s="1">
        <v>18504</v>
      </c>
      <c r="K414" s="1">
        <f t="shared" si="25"/>
        <v>924</v>
      </c>
      <c r="L414" s="1">
        <f t="shared" si="25"/>
        <v>1197</v>
      </c>
      <c r="M414" s="1">
        <f t="shared" si="25"/>
        <v>1542</v>
      </c>
      <c r="N414" t="str">
        <f t="shared" si="26"/>
        <v>PAYS DE LA LOIRE|49 - Maine-et-Loire|CC Anjou Bleu Communauté</v>
      </c>
      <c r="O414" t="str">
        <f t="shared" si="27"/>
        <v>Province</v>
      </c>
    </row>
    <row r="415" spans="1:15" x14ac:dyDescent="0.25">
      <c r="A415" t="s">
        <v>956</v>
      </c>
      <c r="B415" t="str">
        <f t="shared" si="24"/>
        <v>Maine-et-Loire</v>
      </c>
      <c r="C415" t="s">
        <v>978</v>
      </c>
      <c r="D415" t="s">
        <v>987</v>
      </c>
      <c r="E415" t="s">
        <v>988</v>
      </c>
      <c r="F415" t="s">
        <v>1093</v>
      </c>
      <c r="G415" t="s">
        <v>21</v>
      </c>
      <c r="H415" s="5">
        <v>11952</v>
      </c>
      <c r="I415" s="1">
        <v>15600</v>
      </c>
      <c r="J415" s="1">
        <v>19528</v>
      </c>
      <c r="K415" s="1">
        <f t="shared" si="25"/>
        <v>996</v>
      </c>
      <c r="L415" s="1">
        <f t="shared" si="25"/>
        <v>1300</v>
      </c>
      <c r="M415" s="1">
        <f t="shared" si="25"/>
        <v>1627</v>
      </c>
      <c r="N415" t="str">
        <f t="shared" si="26"/>
        <v>PAYS DE LA LOIRE|49 - Maine-et-Loire|CC Baugeois Vallée</v>
      </c>
      <c r="O415" t="str">
        <f t="shared" si="27"/>
        <v>Province</v>
      </c>
    </row>
    <row r="416" spans="1:15" x14ac:dyDescent="0.25">
      <c r="A416" t="s">
        <v>956</v>
      </c>
      <c r="B416" t="str">
        <f t="shared" si="24"/>
        <v>Maine-et-Loire</v>
      </c>
      <c r="C416" t="s">
        <v>978</v>
      </c>
      <c r="D416" t="s">
        <v>969</v>
      </c>
      <c r="E416" t="s">
        <v>970</v>
      </c>
      <c r="F416" t="s">
        <v>1093</v>
      </c>
      <c r="G416" t="s">
        <v>21</v>
      </c>
      <c r="H416" s="5">
        <v>11318</v>
      </c>
      <c r="I416" s="1">
        <v>14352</v>
      </c>
      <c r="J416" s="1">
        <v>18960</v>
      </c>
      <c r="K416" s="1">
        <f t="shared" si="25"/>
        <v>943</v>
      </c>
      <c r="L416" s="1">
        <f t="shared" si="25"/>
        <v>1196</v>
      </c>
      <c r="M416" s="1">
        <f t="shared" si="25"/>
        <v>1580</v>
      </c>
      <c r="N416" t="str">
        <f t="shared" si="26"/>
        <v>PAYS DE LA LOIRE|49 - Maine-et-Loire|CC du Pays d'Ancenis</v>
      </c>
      <c r="O416" t="str">
        <f t="shared" si="27"/>
        <v>Province</v>
      </c>
    </row>
    <row r="417" spans="1:15" x14ac:dyDescent="0.25">
      <c r="A417" t="s">
        <v>956</v>
      </c>
      <c r="B417" t="str">
        <f t="shared" si="24"/>
        <v>Maine-et-Loire</v>
      </c>
      <c r="C417" t="s">
        <v>978</v>
      </c>
      <c r="D417" t="s">
        <v>989</v>
      </c>
      <c r="E417" t="s">
        <v>990</v>
      </c>
      <c r="F417" t="s">
        <v>1093</v>
      </c>
      <c r="G417" t="s">
        <v>21</v>
      </c>
      <c r="H417" s="5">
        <v>12393</v>
      </c>
      <c r="I417" s="1">
        <v>16536</v>
      </c>
      <c r="J417" s="1">
        <v>20619</v>
      </c>
      <c r="K417" s="1">
        <f t="shared" si="25"/>
        <v>1033</v>
      </c>
      <c r="L417" s="1">
        <f t="shared" si="25"/>
        <v>1378</v>
      </c>
      <c r="M417" s="1">
        <f t="shared" si="25"/>
        <v>1718</v>
      </c>
      <c r="N417" t="str">
        <f t="shared" si="26"/>
        <v>PAYS DE LA LOIRE|49 - Maine-et-Loire|CC Loire Layon Aubance</v>
      </c>
      <c r="O417" t="str">
        <f t="shared" si="27"/>
        <v>Province</v>
      </c>
    </row>
    <row r="418" spans="1:15" x14ac:dyDescent="0.25">
      <c r="A418" t="s">
        <v>956</v>
      </c>
      <c r="B418" t="str">
        <f t="shared" si="24"/>
        <v>Maine-et-Loire</v>
      </c>
      <c r="C418" t="s">
        <v>978</v>
      </c>
      <c r="D418" t="s">
        <v>991</v>
      </c>
      <c r="E418" t="s">
        <v>992</v>
      </c>
      <c r="F418" t="s">
        <v>1093</v>
      </c>
      <c r="G418" t="s">
        <v>21</v>
      </c>
      <c r="H418" s="5">
        <v>10797</v>
      </c>
      <c r="I418" s="1">
        <v>15144</v>
      </c>
      <c r="J418" s="1">
        <v>20024</v>
      </c>
      <c r="K418" s="1">
        <f t="shared" si="25"/>
        <v>900</v>
      </c>
      <c r="L418" s="1">
        <f t="shared" si="25"/>
        <v>1262</v>
      </c>
      <c r="M418" s="1">
        <f t="shared" si="25"/>
        <v>1669</v>
      </c>
      <c r="N418" t="str">
        <f t="shared" si="26"/>
        <v>PAYS DE LA LOIRE|49 - Maine-et-Loire|CU Angers Loire Métropole</v>
      </c>
      <c r="O418" t="str">
        <f t="shared" si="27"/>
        <v>Province</v>
      </c>
    </row>
    <row r="419" spans="1:15" x14ac:dyDescent="0.25">
      <c r="A419" t="s">
        <v>956</v>
      </c>
      <c r="B419" t="str">
        <f t="shared" si="24"/>
        <v>Mayenne</v>
      </c>
      <c r="C419" t="s">
        <v>994</v>
      </c>
      <c r="D419" t="s">
        <v>995</v>
      </c>
      <c r="E419" t="s">
        <v>996</v>
      </c>
      <c r="F419" t="s">
        <v>1093</v>
      </c>
      <c r="G419" t="s">
        <v>21</v>
      </c>
      <c r="H419" s="5">
        <v>10200</v>
      </c>
      <c r="I419" s="1">
        <v>14220</v>
      </c>
      <c r="J419" s="1">
        <v>19043</v>
      </c>
      <c r="K419" s="1">
        <f t="shared" si="25"/>
        <v>850</v>
      </c>
      <c r="L419" s="1">
        <f t="shared" si="25"/>
        <v>1185</v>
      </c>
      <c r="M419" s="1">
        <f t="shared" si="25"/>
        <v>1587</v>
      </c>
      <c r="N419" t="str">
        <f t="shared" si="26"/>
        <v>PAYS DE LA LOIRE|53 - Mayenne|CA Laval Agglomération</v>
      </c>
      <c r="O419" t="str">
        <f t="shared" si="27"/>
        <v>Province</v>
      </c>
    </row>
    <row r="420" spans="1:15" x14ac:dyDescent="0.25">
      <c r="A420" t="s">
        <v>956</v>
      </c>
      <c r="B420" t="str">
        <f t="shared" si="24"/>
        <v>Mayenne</v>
      </c>
      <c r="C420" t="s">
        <v>994</v>
      </c>
      <c r="D420" t="s">
        <v>997</v>
      </c>
      <c r="E420" t="s">
        <v>998</v>
      </c>
      <c r="F420" t="s">
        <v>1093</v>
      </c>
      <c r="G420" t="s">
        <v>21</v>
      </c>
      <c r="H420" s="5">
        <v>10863</v>
      </c>
      <c r="I420" s="1">
        <v>14400</v>
      </c>
      <c r="J420" s="1">
        <v>19302</v>
      </c>
      <c r="K420" s="1">
        <f t="shared" si="25"/>
        <v>905</v>
      </c>
      <c r="L420" s="1">
        <f t="shared" si="25"/>
        <v>1200</v>
      </c>
      <c r="M420" s="1">
        <f t="shared" si="25"/>
        <v>1609</v>
      </c>
      <c r="N420" t="str">
        <f t="shared" si="26"/>
        <v>PAYS DE LA LOIRE|53 - Mayenne|CC du Pays de Château-Gontier</v>
      </c>
      <c r="O420" t="str">
        <f t="shared" si="27"/>
        <v>Province</v>
      </c>
    </row>
    <row r="421" spans="1:15" x14ac:dyDescent="0.25">
      <c r="A421" t="s">
        <v>956</v>
      </c>
      <c r="B421" t="str">
        <f t="shared" si="24"/>
        <v>Mayenne</v>
      </c>
      <c r="C421" t="s">
        <v>994</v>
      </c>
      <c r="D421" t="s">
        <v>999</v>
      </c>
      <c r="E421" t="s">
        <v>1000</v>
      </c>
      <c r="F421" t="s">
        <v>1093</v>
      </c>
      <c r="G421" t="s">
        <v>21</v>
      </c>
      <c r="H421" s="5">
        <v>10612</v>
      </c>
      <c r="I421" s="1">
        <v>14483</v>
      </c>
      <c r="J421" s="1">
        <v>18794</v>
      </c>
      <c r="K421" s="1">
        <f t="shared" si="25"/>
        <v>884</v>
      </c>
      <c r="L421" s="1">
        <f t="shared" si="25"/>
        <v>1207</v>
      </c>
      <c r="M421" s="1">
        <f t="shared" si="25"/>
        <v>1566</v>
      </c>
      <c r="N421" t="str">
        <f t="shared" si="26"/>
        <v>PAYS DE LA LOIRE|53 - Mayenne|CC du Pays Sabolien</v>
      </c>
      <c r="O421" t="str">
        <f t="shared" si="27"/>
        <v>Province</v>
      </c>
    </row>
    <row r="422" spans="1:15" x14ac:dyDescent="0.25">
      <c r="A422" t="s">
        <v>956</v>
      </c>
      <c r="B422" t="str">
        <f t="shared" si="24"/>
        <v>Mayenne</v>
      </c>
      <c r="C422" t="s">
        <v>994</v>
      </c>
      <c r="D422" t="s">
        <v>1001</v>
      </c>
      <c r="E422" t="s">
        <v>1002</v>
      </c>
      <c r="F422" t="s">
        <v>1093</v>
      </c>
      <c r="G422" t="s">
        <v>21</v>
      </c>
      <c r="H422" s="5">
        <v>9704</v>
      </c>
      <c r="I422" s="1">
        <v>13152</v>
      </c>
      <c r="J422" s="1">
        <v>18946</v>
      </c>
      <c r="K422" s="1">
        <f t="shared" si="25"/>
        <v>809</v>
      </c>
      <c r="L422" s="1">
        <f t="shared" si="25"/>
        <v>1096</v>
      </c>
      <c r="M422" s="1">
        <f t="shared" si="25"/>
        <v>1579</v>
      </c>
      <c r="N422" t="str">
        <f t="shared" si="26"/>
        <v>PAYS DE LA LOIRE|53 - Mayenne|CC Mayenne Communauté</v>
      </c>
      <c r="O422" t="str">
        <f t="shared" si="27"/>
        <v>Province</v>
      </c>
    </row>
    <row r="423" spans="1:15" x14ac:dyDescent="0.25">
      <c r="A423" t="s">
        <v>956</v>
      </c>
      <c r="B423" t="str">
        <f t="shared" si="24"/>
        <v>Sarthe</v>
      </c>
      <c r="C423" t="s">
        <v>1004</v>
      </c>
      <c r="D423" t="s">
        <v>999</v>
      </c>
      <c r="E423" t="s">
        <v>1000</v>
      </c>
      <c r="F423" t="s">
        <v>1093</v>
      </c>
      <c r="G423" t="s">
        <v>21</v>
      </c>
      <c r="H423" s="5">
        <v>10612</v>
      </c>
      <c r="I423" s="1">
        <v>14483</v>
      </c>
      <c r="J423" s="1">
        <v>18794</v>
      </c>
      <c r="K423" s="1">
        <f t="shared" si="25"/>
        <v>884</v>
      </c>
      <c r="L423" s="1">
        <f t="shared" si="25"/>
        <v>1207</v>
      </c>
      <c r="M423" s="1">
        <f t="shared" si="25"/>
        <v>1566</v>
      </c>
      <c r="N423" t="str">
        <f t="shared" si="26"/>
        <v>PAYS DE LA LOIRE|72 - Sarthe|CC du Pays Sabolien</v>
      </c>
      <c r="O423" t="str">
        <f t="shared" si="27"/>
        <v>Province</v>
      </c>
    </row>
    <row r="424" spans="1:15" x14ac:dyDescent="0.25">
      <c r="A424" t="s">
        <v>956</v>
      </c>
      <c r="B424" t="str">
        <f t="shared" si="24"/>
        <v>Sarthe</v>
      </c>
      <c r="C424" t="s">
        <v>1004</v>
      </c>
      <c r="D424" t="s">
        <v>720</v>
      </c>
      <c r="E424" t="s">
        <v>721</v>
      </c>
      <c r="F424" t="s">
        <v>1093</v>
      </c>
      <c r="G424" t="s">
        <v>21</v>
      </c>
      <c r="H424" s="5">
        <v>8573</v>
      </c>
      <c r="I424" s="1">
        <v>12612</v>
      </c>
      <c r="J424" s="1">
        <v>18000</v>
      </c>
      <c r="K424" s="1">
        <f t="shared" si="25"/>
        <v>714</v>
      </c>
      <c r="L424" s="1">
        <f t="shared" si="25"/>
        <v>1051</v>
      </c>
      <c r="M424" s="1">
        <f t="shared" si="25"/>
        <v>1500</v>
      </c>
      <c r="N424" t="str">
        <f t="shared" si="26"/>
        <v>PAYS DE LA LOIRE|72 - Sarthe|CU d'Alençon</v>
      </c>
      <c r="O424" t="str">
        <f t="shared" si="27"/>
        <v>Province</v>
      </c>
    </row>
    <row r="425" spans="1:15" x14ac:dyDescent="0.25">
      <c r="A425" t="s">
        <v>956</v>
      </c>
      <c r="B425" t="str">
        <f t="shared" si="24"/>
        <v>Sarthe</v>
      </c>
      <c r="C425" t="s">
        <v>1004</v>
      </c>
      <c r="D425" t="s">
        <v>1005</v>
      </c>
      <c r="E425" t="s">
        <v>1006</v>
      </c>
      <c r="F425" t="s">
        <v>1093</v>
      </c>
      <c r="G425" t="s">
        <v>21</v>
      </c>
      <c r="H425" s="5">
        <v>9480</v>
      </c>
      <c r="I425" s="1">
        <v>13248</v>
      </c>
      <c r="J425" s="1">
        <v>18336</v>
      </c>
      <c r="K425" s="1">
        <f t="shared" si="25"/>
        <v>790</v>
      </c>
      <c r="L425" s="1">
        <f t="shared" si="25"/>
        <v>1104</v>
      </c>
      <c r="M425" s="1">
        <f t="shared" si="25"/>
        <v>1528</v>
      </c>
      <c r="N425" t="str">
        <f t="shared" si="26"/>
        <v>PAYS DE LA LOIRE|72 - Sarthe|CU Le Mans Métropole</v>
      </c>
      <c r="O425" t="str">
        <f t="shared" si="27"/>
        <v>Province</v>
      </c>
    </row>
    <row r="426" spans="1:15" x14ac:dyDescent="0.25">
      <c r="A426" t="s">
        <v>956</v>
      </c>
      <c r="B426" t="str">
        <f t="shared" si="24"/>
        <v>Vendée</v>
      </c>
      <c r="C426" t="s">
        <v>1008</v>
      </c>
      <c r="D426" t="s">
        <v>1009</v>
      </c>
      <c r="E426" t="s">
        <v>1010</v>
      </c>
      <c r="F426" t="s">
        <v>1093</v>
      </c>
      <c r="G426" t="s">
        <v>21</v>
      </c>
      <c r="H426" s="5">
        <v>12038</v>
      </c>
      <c r="I426" s="1">
        <v>15652</v>
      </c>
      <c r="J426" s="1">
        <v>20059</v>
      </c>
      <c r="K426" s="1">
        <f t="shared" si="25"/>
        <v>1003</v>
      </c>
      <c r="L426" s="1">
        <f t="shared" si="25"/>
        <v>1304</v>
      </c>
      <c r="M426" s="1">
        <f t="shared" si="25"/>
        <v>1672</v>
      </c>
      <c r="N426" t="str">
        <f t="shared" si="26"/>
        <v>PAYS DE LA LOIRE|85 - Vendée|CA du Pays de Saint-Gilles-Croix-de-Vie</v>
      </c>
      <c r="O426" t="str">
        <f t="shared" si="27"/>
        <v>Province</v>
      </c>
    </row>
    <row r="427" spans="1:15" x14ac:dyDescent="0.25">
      <c r="A427" t="s">
        <v>956</v>
      </c>
      <c r="B427" t="str">
        <f t="shared" si="24"/>
        <v>Vendée</v>
      </c>
      <c r="C427" t="s">
        <v>1008</v>
      </c>
      <c r="D427" t="s">
        <v>1011</v>
      </c>
      <c r="E427" t="s">
        <v>1012</v>
      </c>
      <c r="F427" t="s">
        <v>1093</v>
      </c>
      <c r="G427" t="s">
        <v>21</v>
      </c>
      <c r="H427" s="5">
        <v>10652</v>
      </c>
      <c r="I427" s="1">
        <v>14436</v>
      </c>
      <c r="J427" s="1">
        <v>19372</v>
      </c>
      <c r="K427" s="1">
        <f t="shared" si="25"/>
        <v>888</v>
      </c>
      <c r="L427" s="1">
        <f t="shared" si="25"/>
        <v>1203</v>
      </c>
      <c r="M427" s="1">
        <f t="shared" si="25"/>
        <v>1614</v>
      </c>
      <c r="N427" t="str">
        <f t="shared" si="26"/>
        <v>PAYS DE LA LOIRE|85 - Vendée|CA La Roche-sur-Yon - Agglomération</v>
      </c>
      <c r="O427" t="str">
        <f t="shared" si="27"/>
        <v>Province</v>
      </c>
    </row>
    <row r="428" spans="1:15" x14ac:dyDescent="0.25">
      <c r="A428" t="s">
        <v>956</v>
      </c>
      <c r="B428" t="str">
        <f t="shared" si="24"/>
        <v>Vendée</v>
      </c>
      <c r="C428" t="s">
        <v>1008</v>
      </c>
      <c r="D428" t="s">
        <v>1013</v>
      </c>
      <c r="E428" t="s">
        <v>1014</v>
      </c>
      <c r="F428" t="s">
        <v>1093</v>
      </c>
      <c r="G428" t="s">
        <v>21</v>
      </c>
      <c r="H428" s="5">
        <v>11310</v>
      </c>
      <c r="I428" s="1">
        <v>15264</v>
      </c>
      <c r="J428" s="1">
        <v>19896</v>
      </c>
      <c r="K428" s="1">
        <f t="shared" si="25"/>
        <v>943</v>
      </c>
      <c r="L428" s="1">
        <f t="shared" si="25"/>
        <v>1272</v>
      </c>
      <c r="M428" s="1">
        <f t="shared" si="25"/>
        <v>1658</v>
      </c>
      <c r="N428" t="str">
        <f t="shared" si="26"/>
        <v>PAYS DE LA LOIRE|85 - Vendée|CA Les Sables d'Olonne Agglomération</v>
      </c>
      <c r="O428" t="str">
        <f t="shared" si="27"/>
        <v>Province</v>
      </c>
    </row>
    <row r="429" spans="1:15" x14ac:dyDescent="0.25">
      <c r="A429" t="s">
        <v>956</v>
      </c>
      <c r="B429" t="str">
        <f t="shared" si="24"/>
        <v>Vendée</v>
      </c>
      <c r="C429" t="s">
        <v>1008</v>
      </c>
      <c r="D429" t="s">
        <v>1015</v>
      </c>
      <c r="E429" t="s">
        <v>1016</v>
      </c>
      <c r="F429" t="s">
        <v>1093</v>
      </c>
      <c r="G429" t="s">
        <v>21</v>
      </c>
      <c r="H429" s="5">
        <v>12000</v>
      </c>
      <c r="I429" s="1">
        <v>15722</v>
      </c>
      <c r="J429" s="1">
        <v>20060</v>
      </c>
      <c r="K429" s="1">
        <f t="shared" si="25"/>
        <v>1000</v>
      </c>
      <c r="L429" s="1">
        <f t="shared" si="25"/>
        <v>1310</v>
      </c>
      <c r="M429" s="1">
        <f t="shared" si="25"/>
        <v>1672</v>
      </c>
      <c r="N429" t="str">
        <f t="shared" si="26"/>
        <v>PAYS DE LA LOIRE|85 - Vendée|CA Terres de Montaigu</v>
      </c>
      <c r="O429" t="str">
        <f t="shared" si="27"/>
        <v>Province</v>
      </c>
    </row>
    <row r="430" spans="1:15" x14ac:dyDescent="0.25">
      <c r="A430" t="s">
        <v>956</v>
      </c>
      <c r="B430" t="str">
        <f t="shared" si="24"/>
        <v>Vendée</v>
      </c>
      <c r="C430" t="s">
        <v>1008</v>
      </c>
      <c r="D430" t="s">
        <v>1017</v>
      </c>
      <c r="E430" t="s">
        <v>1018</v>
      </c>
      <c r="F430" t="s">
        <v>1093</v>
      </c>
      <c r="G430" t="s">
        <v>21</v>
      </c>
      <c r="H430" s="5">
        <v>11253</v>
      </c>
      <c r="I430" s="1">
        <v>14421</v>
      </c>
      <c r="J430" s="1">
        <v>18663</v>
      </c>
      <c r="K430" s="1">
        <f t="shared" si="25"/>
        <v>938</v>
      </c>
      <c r="L430" s="1">
        <f t="shared" si="25"/>
        <v>1202</v>
      </c>
      <c r="M430" s="1">
        <f t="shared" si="25"/>
        <v>1555</v>
      </c>
      <c r="N430" t="str">
        <f t="shared" si="26"/>
        <v>PAYS DE LA LOIRE|85 - Vendée|CC Challans-Gois Communauté</v>
      </c>
      <c r="O430" t="str">
        <f t="shared" si="27"/>
        <v>Province</v>
      </c>
    </row>
    <row r="431" spans="1:15" x14ac:dyDescent="0.25">
      <c r="A431" t="s">
        <v>956</v>
      </c>
      <c r="B431" t="str">
        <f t="shared" si="24"/>
        <v>Vendée</v>
      </c>
      <c r="C431" t="s">
        <v>1008</v>
      </c>
      <c r="D431" t="s">
        <v>1019</v>
      </c>
      <c r="E431" t="s">
        <v>1020</v>
      </c>
      <c r="F431" t="s">
        <v>1093</v>
      </c>
      <c r="G431" t="s">
        <v>21</v>
      </c>
      <c r="H431" s="5">
        <v>12384</v>
      </c>
      <c r="I431" s="1">
        <v>15776</v>
      </c>
      <c r="J431" s="1">
        <v>20002</v>
      </c>
      <c r="K431" s="1">
        <f t="shared" si="25"/>
        <v>1032</v>
      </c>
      <c r="L431" s="1">
        <f t="shared" si="25"/>
        <v>1315</v>
      </c>
      <c r="M431" s="1">
        <f t="shared" si="25"/>
        <v>1667</v>
      </c>
      <c r="N431" t="str">
        <f t="shared" si="26"/>
        <v>PAYS DE LA LOIRE|85 - Vendée|CC de Vie et Boulogne</v>
      </c>
      <c r="O431" t="str">
        <f t="shared" si="27"/>
        <v>Province</v>
      </c>
    </row>
    <row r="432" spans="1:15" x14ac:dyDescent="0.25">
      <c r="A432" t="s">
        <v>956</v>
      </c>
      <c r="B432" t="str">
        <f t="shared" si="24"/>
        <v>Vendée</v>
      </c>
      <c r="C432" t="s">
        <v>1008</v>
      </c>
      <c r="D432" t="s">
        <v>1021</v>
      </c>
      <c r="E432" t="s">
        <v>1022</v>
      </c>
      <c r="F432" t="s">
        <v>1093</v>
      </c>
      <c r="G432" t="s">
        <v>21</v>
      </c>
      <c r="H432" s="5">
        <v>9768</v>
      </c>
      <c r="I432" s="1">
        <v>13287</v>
      </c>
      <c r="J432" s="1">
        <v>17736</v>
      </c>
      <c r="K432" s="1">
        <f t="shared" si="25"/>
        <v>814</v>
      </c>
      <c r="L432" s="1">
        <f t="shared" si="25"/>
        <v>1107</v>
      </c>
      <c r="M432" s="1">
        <f t="shared" si="25"/>
        <v>1478</v>
      </c>
      <c r="N432" t="str">
        <f t="shared" si="26"/>
        <v>PAYS DE LA LOIRE|85 - Vendée|CC du Pays de Fontenay-Vendée</v>
      </c>
      <c r="O432" t="str">
        <f t="shared" si="27"/>
        <v>Province</v>
      </c>
    </row>
    <row r="433" spans="1:15" x14ac:dyDescent="0.25">
      <c r="A433" t="s">
        <v>956</v>
      </c>
      <c r="B433" t="str">
        <f t="shared" si="24"/>
        <v>Vendée</v>
      </c>
      <c r="C433" t="s">
        <v>1008</v>
      </c>
      <c r="D433" t="s">
        <v>1023</v>
      </c>
      <c r="E433" t="s">
        <v>1024</v>
      </c>
      <c r="F433" t="s">
        <v>1093</v>
      </c>
      <c r="G433" t="s">
        <v>21</v>
      </c>
      <c r="H433" s="5">
        <v>11754</v>
      </c>
      <c r="I433" s="1">
        <v>15972</v>
      </c>
      <c r="J433" s="1">
        <v>20441</v>
      </c>
      <c r="K433" s="1">
        <f t="shared" si="25"/>
        <v>980</v>
      </c>
      <c r="L433" s="1">
        <f t="shared" si="25"/>
        <v>1331</v>
      </c>
      <c r="M433" s="1">
        <f t="shared" si="25"/>
        <v>1703</v>
      </c>
      <c r="N433" t="str">
        <f t="shared" si="26"/>
        <v>PAYS DE LA LOIRE|85 - Vendée|CC du Pays des Herbiers</v>
      </c>
      <c r="O433" t="str">
        <f t="shared" si="27"/>
        <v>Province</v>
      </c>
    </row>
    <row r="434" spans="1:15" x14ac:dyDescent="0.25">
      <c r="A434" t="s">
        <v>1025</v>
      </c>
      <c r="B434" t="str">
        <f t="shared" si="24"/>
        <v>Alpes-de-Haute-Provence</v>
      </c>
      <c r="C434" t="s">
        <v>1027</v>
      </c>
      <c r="D434" t="s">
        <v>1028</v>
      </c>
      <c r="E434" t="s">
        <v>1029</v>
      </c>
      <c r="F434" t="s">
        <v>1093</v>
      </c>
      <c r="G434" t="s">
        <v>21</v>
      </c>
      <c r="H434" s="5">
        <v>9763</v>
      </c>
      <c r="I434" s="1">
        <v>13475</v>
      </c>
      <c r="J434" s="1">
        <v>18240</v>
      </c>
      <c r="K434" s="1">
        <f t="shared" si="25"/>
        <v>814</v>
      </c>
      <c r="L434" s="1">
        <f t="shared" si="25"/>
        <v>1123</v>
      </c>
      <c r="M434" s="1">
        <f t="shared" si="25"/>
        <v>1520</v>
      </c>
      <c r="N434" t="str">
        <f t="shared" si="26"/>
        <v>PROVENCE-ALPES-CÔTE D'AZUR|04 - Alpes-de-Haute-Provence|CA Durance-Lubéron-Verdon Agglomération</v>
      </c>
      <c r="O434" t="str">
        <f t="shared" si="27"/>
        <v>Province</v>
      </c>
    </row>
    <row r="435" spans="1:15" x14ac:dyDescent="0.25">
      <c r="A435" t="s">
        <v>1025</v>
      </c>
      <c r="B435" t="str">
        <f t="shared" si="24"/>
        <v>Alpes-de-Haute-Provence</v>
      </c>
      <c r="C435" t="s">
        <v>1027</v>
      </c>
      <c r="D435" t="s">
        <v>1030</v>
      </c>
      <c r="E435" t="s">
        <v>1031</v>
      </c>
      <c r="F435" t="s">
        <v>1093</v>
      </c>
      <c r="G435" t="s">
        <v>21</v>
      </c>
      <c r="H435" s="5">
        <v>10791</v>
      </c>
      <c r="I435" s="1">
        <v>13950</v>
      </c>
      <c r="J435" s="1">
        <v>19137</v>
      </c>
      <c r="K435" s="1">
        <f t="shared" si="25"/>
        <v>899</v>
      </c>
      <c r="L435" s="1">
        <f t="shared" si="25"/>
        <v>1163</v>
      </c>
      <c r="M435" s="1">
        <f t="shared" si="25"/>
        <v>1595</v>
      </c>
      <c r="N435" t="str">
        <f t="shared" si="26"/>
        <v>PROVENCE-ALPES-CÔTE D'AZUR|04 - Alpes-de-Haute-Provence|CA Gap-Tallard-Durance</v>
      </c>
      <c r="O435" t="str">
        <f t="shared" si="27"/>
        <v>Province</v>
      </c>
    </row>
    <row r="436" spans="1:15" x14ac:dyDescent="0.25">
      <c r="A436" t="s">
        <v>1025</v>
      </c>
      <c r="B436" t="str">
        <f t="shared" si="24"/>
        <v>Alpes-de-Haute-Provence</v>
      </c>
      <c r="C436" t="s">
        <v>1027</v>
      </c>
      <c r="D436" t="s">
        <v>1032</v>
      </c>
      <c r="E436" t="s">
        <v>1033</v>
      </c>
      <c r="F436" t="s">
        <v>1093</v>
      </c>
      <c r="G436" t="s">
        <v>21</v>
      </c>
      <c r="H436" s="5">
        <v>9756</v>
      </c>
      <c r="I436" s="1">
        <v>13553</v>
      </c>
      <c r="J436" s="1">
        <v>18519</v>
      </c>
      <c r="K436" s="1">
        <f t="shared" si="25"/>
        <v>813</v>
      </c>
      <c r="L436" s="1">
        <f t="shared" si="25"/>
        <v>1129</v>
      </c>
      <c r="M436" s="1">
        <f t="shared" si="25"/>
        <v>1543</v>
      </c>
      <c r="N436" t="str">
        <f t="shared" si="26"/>
        <v>PROVENCE-ALPES-CÔTE D'AZUR|04 - Alpes-de-Haute-Provence|CA Provence-Alpes-Agglomération</v>
      </c>
      <c r="O436" t="str">
        <f t="shared" si="27"/>
        <v>Province</v>
      </c>
    </row>
    <row r="437" spans="1:15" x14ac:dyDescent="0.25">
      <c r="A437" t="s">
        <v>1025</v>
      </c>
      <c r="B437" t="str">
        <f t="shared" si="24"/>
        <v>Alpes-de-Haute-Provence</v>
      </c>
      <c r="C437" t="s">
        <v>1027</v>
      </c>
      <c r="D437" t="s">
        <v>1034</v>
      </c>
      <c r="E437" t="s">
        <v>1035</v>
      </c>
      <c r="F437" t="s">
        <v>1093</v>
      </c>
      <c r="G437" t="s">
        <v>21</v>
      </c>
      <c r="H437" s="5">
        <v>9240</v>
      </c>
      <c r="I437" s="1">
        <v>12744</v>
      </c>
      <c r="J437" s="1">
        <v>17820</v>
      </c>
      <c r="K437" s="1">
        <f t="shared" si="25"/>
        <v>770</v>
      </c>
      <c r="L437" s="1">
        <f t="shared" si="25"/>
        <v>1062</v>
      </c>
      <c r="M437" s="1">
        <f t="shared" si="25"/>
        <v>1485</v>
      </c>
      <c r="N437" t="str">
        <f t="shared" si="26"/>
        <v>PROVENCE-ALPES-CÔTE D'AZUR|04 - Alpes-de-Haute-Provence|CC Pays d'Apt-Luberon</v>
      </c>
      <c r="O437" t="str">
        <f t="shared" si="27"/>
        <v>Province</v>
      </c>
    </row>
    <row r="438" spans="1:15" x14ac:dyDescent="0.25">
      <c r="A438" t="s">
        <v>1025</v>
      </c>
      <c r="B438" t="str">
        <f t="shared" si="24"/>
        <v>Hautes-Alpes</v>
      </c>
      <c r="C438" t="s">
        <v>1037</v>
      </c>
      <c r="D438" t="s">
        <v>1030</v>
      </c>
      <c r="E438" t="s">
        <v>1031</v>
      </c>
      <c r="F438" t="s">
        <v>1093</v>
      </c>
      <c r="G438" t="s">
        <v>21</v>
      </c>
      <c r="H438" s="5">
        <v>10791</v>
      </c>
      <c r="I438" s="1">
        <v>13950</v>
      </c>
      <c r="J438" s="1">
        <v>19137</v>
      </c>
      <c r="K438" s="1">
        <f t="shared" si="25"/>
        <v>899</v>
      </c>
      <c r="L438" s="1">
        <f t="shared" si="25"/>
        <v>1163</v>
      </c>
      <c r="M438" s="1">
        <f t="shared" si="25"/>
        <v>1595</v>
      </c>
      <c r="N438" t="str">
        <f t="shared" si="26"/>
        <v>PROVENCE-ALPES-CÔTE D'AZUR|05 - Hautes-Alpes|CA Gap-Tallard-Durance</v>
      </c>
      <c r="O438" t="str">
        <f t="shared" si="27"/>
        <v>Province</v>
      </c>
    </row>
    <row r="439" spans="1:15" x14ac:dyDescent="0.25">
      <c r="A439" t="s">
        <v>1025</v>
      </c>
      <c r="B439" t="str">
        <f t="shared" si="24"/>
        <v>Alpes-Maritimes</v>
      </c>
      <c r="C439" t="s">
        <v>1039</v>
      </c>
      <c r="D439" t="s">
        <v>1040</v>
      </c>
      <c r="E439" t="s">
        <v>1041</v>
      </c>
      <c r="F439" t="s">
        <v>1093</v>
      </c>
      <c r="G439" t="s">
        <v>21</v>
      </c>
      <c r="H439" s="5">
        <v>11245</v>
      </c>
      <c r="I439" s="1">
        <v>15353</v>
      </c>
      <c r="J439" s="1">
        <v>20583</v>
      </c>
      <c r="K439" s="1">
        <f t="shared" si="25"/>
        <v>937</v>
      </c>
      <c r="L439" s="1">
        <f t="shared" si="25"/>
        <v>1279</v>
      </c>
      <c r="M439" s="1">
        <f t="shared" si="25"/>
        <v>1715</v>
      </c>
      <c r="N439" t="str">
        <f t="shared" si="26"/>
        <v>PROVENCE-ALPES-CÔTE D'AZUR|06 - Alpes-Maritimes|CA Cannes Pays de Lérins</v>
      </c>
      <c r="O439" t="str">
        <f t="shared" si="27"/>
        <v>Province</v>
      </c>
    </row>
    <row r="440" spans="1:15" x14ac:dyDescent="0.25">
      <c r="A440" t="s">
        <v>1025</v>
      </c>
      <c r="B440" t="str">
        <f t="shared" si="24"/>
        <v>Alpes-Maritimes</v>
      </c>
      <c r="C440" t="s">
        <v>1039</v>
      </c>
      <c r="D440" t="s">
        <v>1042</v>
      </c>
      <c r="E440" t="s">
        <v>1043</v>
      </c>
      <c r="F440" t="s">
        <v>1093</v>
      </c>
      <c r="G440" t="s">
        <v>21</v>
      </c>
      <c r="H440" s="5">
        <v>11806</v>
      </c>
      <c r="I440" s="1">
        <v>16350</v>
      </c>
      <c r="J440" s="1">
        <v>21701</v>
      </c>
      <c r="K440" s="1">
        <f t="shared" si="25"/>
        <v>984</v>
      </c>
      <c r="L440" s="1">
        <f t="shared" si="25"/>
        <v>1363</v>
      </c>
      <c r="M440" s="1">
        <f t="shared" si="25"/>
        <v>1808</v>
      </c>
      <c r="N440" t="str">
        <f t="shared" si="26"/>
        <v>PROVENCE-ALPES-CÔTE D'AZUR|06 - Alpes-Maritimes|CA de la Riviera Française</v>
      </c>
      <c r="O440" t="str">
        <f t="shared" si="27"/>
        <v>Province</v>
      </c>
    </row>
    <row r="441" spans="1:15" x14ac:dyDescent="0.25">
      <c r="A441" t="s">
        <v>1025</v>
      </c>
      <c r="B441" t="str">
        <f t="shared" si="24"/>
        <v>Alpes-Maritimes</v>
      </c>
      <c r="C441" t="s">
        <v>1039</v>
      </c>
      <c r="D441" t="s">
        <v>1044</v>
      </c>
      <c r="E441" t="s">
        <v>1045</v>
      </c>
      <c r="F441" t="s">
        <v>1093</v>
      </c>
      <c r="G441" t="s">
        <v>21</v>
      </c>
      <c r="H441" s="5">
        <v>12000</v>
      </c>
      <c r="I441" s="1">
        <v>16404</v>
      </c>
      <c r="J441" s="1">
        <v>21536</v>
      </c>
      <c r="K441" s="1">
        <f t="shared" si="25"/>
        <v>1000</v>
      </c>
      <c r="L441" s="1">
        <f t="shared" si="25"/>
        <v>1367</v>
      </c>
      <c r="M441" s="1">
        <f t="shared" si="25"/>
        <v>1795</v>
      </c>
      <c r="N441" t="str">
        <f t="shared" si="26"/>
        <v>PROVENCE-ALPES-CÔTE D'AZUR|06 - Alpes-Maritimes|CA de Sophia Antipolis</v>
      </c>
      <c r="O441" t="str">
        <f t="shared" si="27"/>
        <v>Province</v>
      </c>
    </row>
    <row r="442" spans="1:15" x14ac:dyDescent="0.25">
      <c r="A442" t="s">
        <v>1025</v>
      </c>
      <c r="B442" t="str">
        <f t="shared" si="24"/>
        <v>Alpes-Maritimes</v>
      </c>
      <c r="C442" t="s">
        <v>1039</v>
      </c>
      <c r="D442" t="s">
        <v>1046</v>
      </c>
      <c r="E442" t="s">
        <v>1047</v>
      </c>
      <c r="F442" t="s">
        <v>1093</v>
      </c>
      <c r="G442" t="s">
        <v>21</v>
      </c>
      <c r="H442" s="5">
        <v>11736</v>
      </c>
      <c r="I442" s="1">
        <v>15831</v>
      </c>
      <c r="J442" s="1">
        <v>20880</v>
      </c>
      <c r="K442" s="1">
        <f t="shared" si="25"/>
        <v>978</v>
      </c>
      <c r="L442" s="1">
        <f t="shared" si="25"/>
        <v>1319</v>
      </c>
      <c r="M442" s="1">
        <f t="shared" si="25"/>
        <v>1740</v>
      </c>
      <c r="N442" t="str">
        <f t="shared" si="26"/>
        <v>PROVENCE-ALPES-CÔTE D'AZUR|06 - Alpes-Maritimes|CA du Pays de Grasse</v>
      </c>
      <c r="O442" t="str">
        <f t="shared" si="27"/>
        <v>Province</v>
      </c>
    </row>
    <row r="443" spans="1:15" x14ac:dyDescent="0.25">
      <c r="A443" t="s">
        <v>1025</v>
      </c>
      <c r="B443" t="str">
        <f t="shared" si="24"/>
        <v>Alpes-Maritimes</v>
      </c>
      <c r="C443" t="s">
        <v>1039</v>
      </c>
      <c r="D443" t="s">
        <v>1048</v>
      </c>
      <c r="E443" t="s">
        <v>1049</v>
      </c>
      <c r="F443" t="s">
        <v>1093</v>
      </c>
      <c r="G443" t="s">
        <v>21</v>
      </c>
      <c r="H443" s="5">
        <v>10920</v>
      </c>
      <c r="I443" s="1">
        <v>15152</v>
      </c>
      <c r="J443" s="1">
        <v>20688</v>
      </c>
      <c r="K443" s="1">
        <f t="shared" si="25"/>
        <v>910</v>
      </c>
      <c r="L443" s="1">
        <f t="shared" si="25"/>
        <v>1263</v>
      </c>
      <c r="M443" s="1">
        <f t="shared" si="25"/>
        <v>1724</v>
      </c>
      <c r="N443" t="str">
        <f t="shared" si="26"/>
        <v>PROVENCE-ALPES-CÔTE D'AZUR|06 - Alpes-Maritimes|Métropole Nice Côte d'Azur</v>
      </c>
      <c r="O443" t="str">
        <f t="shared" si="27"/>
        <v>Province</v>
      </c>
    </row>
    <row r="444" spans="1:15" x14ac:dyDescent="0.25">
      <c r="A444" t="s">
        <v>1025</v>
      </c>
      <c r="B444" t="str">
        <f t="shared" si="24"/>
        <v>Bouches-du-Rhône</v>
      </c>
      <c r="C444" t="s">
        <v>1051</v>
      </c>
      <c r="D444" t="s">
        <v>1052</v>
      </c>
      <c r="E444" t="s">
        <v>1053</v>
      </c>
      <c r="F444" t="s">
        <v>1093</v>
      </c>
      <c r="G444" t="s">
        <v>21</v>
      </c>
      <c r="H444" s="5">
        <v>9132</v>
      </c>
      <c r="I444" s="1">
        <v>12912</v>
      </c>
      <c r="J444" s="1">
        <v>18056</v>
      </c>
      <c r="K444" s="1">
        <f t="shared" si="25"/>
        <v>761</v>
      </c>
      <c r="L444" s="1">
        <f t="shared" si="25"/>
        <v>1076</v>
      </c>
      <c r="M444" s="1">
        <f t="shared" si="25"/>
        <v>1505</v>
      </c>
      <c r="N444" t="str">
        <f t="shared" si="26"/>
        <v>PROVENCE-ALPES-CÔTE D'AZUR|13 - Bouches-du-Rhône|CA d'Arles-Crau-Camargue-Montagnette</v>
      </c>
      <c r="O444" t="str">
        <f t="shared" si="27"/>
        <v>Province</v>
      </c>
    </row>
    <row r="445" spans="1:15" x14ac:dyDescent="0.25">
      <c r="A445" t="s">
        <v>1025</v>
      </c>
      <c r="B445" t="str">
        <f t="shared" si="24"/>
        <v>Bouches-du-Rhône</v>
      </c>
      <c r="C445" t="s">
        <v>1051</v>
      </c>
      <c r="D445" t="s">
        <v>1056</v>
      </c>
      <c r="E445" t="s">
        <v>1057</v>
      </c>
      <c r="F445" t="s">
        <v>1093</v>
      </c>
      <c r="G445" t="s">
        <v>21</v>
      </c>
      <c r="H445" s="5">
        <v>9594</v>
      </c>
      <c r="I445" s="1">
        <v>14010</v>
      </c>
      <c r="J445" s="1">
        <v>19673</v>
      </c>
      <c r="K445" s="1">
        <f t="shared" si="25"/>
        <v>800</v>
      </c>
      <c r="L445" s="1">
        <f t="shared" si="25"/>
        <v>1168</v>
      </c>
      <c r="M445" s="1">
        <f t="shared" si="25"/>
        <v>1639</v>
      </c>
      <c r="N445" t="str">
        <f t="shared" si="26"/>
        <v>PROVENCE-ALPES-CÔTE D'AZUR|13 - Bouches-du-Rhône|Métropole d'Aix-Marseille-Provence</v>
      </c>
      <c r="O445" t="str">
        <f t="shared" si="27"/>
        <v>Province</v>
      </c>
    </row>
    <row r="446" spans="1:15" x14ac:dyDescent="0.25">
      <c r="A446" t="s">
        <v>1025</v>
      </c>
      <c r="B446" t="str">
        <f t="shared" si="24"/>
        <v>Bouches-du-Rhône</v>
      </c>
      <c r="C446" t="s">
        <v>1051</v>
      </c>
      <c r="D446" t="s">
        <v>1092</v>
      </c>
      <c r="E446" t="s">
        <v>1055</v>
      </c>
      <c r="F446" t="s">
        <v>1093</v>
      </c>
      <c r="G446" t="s">
        <v>21</v>
      </c>
      <c r="H446" s="5">
        <v>10234</v>
      </c>
      <c r="I446" s="1">
        <v>14185</v>
      </c>
      <c r="J446" s="1">
        <v>19076</v>
      </c>
      <c r="K446" s="1">
        <f t="shared" si="25"/>
        <v>853</v>
      </c>
      <c r="L446" s="1">
        <f t="shared" si="25"/>
        <v>1182</v>
      </c>
      <c r="M446" s="1">
        <f t="shared" si="25"/>
        <v>1590</v>
      </c>
      <c r="N446" t="str">
        <f t="shared" si="26"/>
        <v>PROVENCE-ALPES-CÔTE D'AZUR|13 - Bouches-du-Rhône|Terre de Provence</v>
      </c>
      <c r="O446" t="str">
        <f t="shared" si="27"/>
        <v>Province</v>
      </c>
    </row>
    <row r="447" spans="1:15" x14ac:dyDescent="0.25">
      <c r="A447" t="s">
        <v>1025</v>
      </c>
      <c r="B447" t="str">
        <f t="shared" si="24"/>
        <v>Var</v>
      </c>
      <c r="C447" t="s">
        <v>1059</v>
      </c>
      <c r="D447" t="s">
        <v>1060</v>
      </c>
      <c r="E447" t="s">
        <v>1061</v>
      </c>
      <c r="F447" t="s">
        <v>1093</v>
      </c>
      <c r="G447" t="s">
        <v>21</v>
      </c>
      <c r="H447" s="5">
        <v>8805</v>
      </c>
      <c r="I447" s="1">
        <v>12842</v>
      </c>
      <c r="J447" s="1">
        <v>17971</v>
      </c>
      <c r="K447" s="1">
        <f t="shared" si="25"/>
        <v>734</v>
      </c>
      <c r="L447" s="1">
        <f t="shared" si="25"/>
        <v>1070</v>
      </c>
      <c r="M447" s="1">
        <f t="shared" si="25"/>
        <v>1498</v>
      </c>
      <c r="N447" t="str">
        <f t="shared" si="26"/>
        <v>PROVENCE-ALPES-CÔTE D'AZUR|83 - Var|CA de la Provence Verte</v>
      </c>
      <c r="O447" t="str">
        <f t="shared" si="27"/>
        <v>Province</v>
      </c>
    </row>
    <row r="448" spans="1:15" x14ac:dyDescent="0.25">
      <c r="A448" t="s">
        <v>1025</v>
      </c>
      <c r="B448" t="str">
        <f t="shared" si="24"/>
        <v>Var</v>
      </c>
      <c r="C448" t="s">
        <v>1059</v>
      </c>
      <c r="D448" t="s">
        <v>1028</v>
      </c>
      <c r="E448" t="s">
        <v>1029</v>
      </c>
      <c r="F448" t="s">
        <v>1093</v>
      </c>
      <c r="G448" t="s">
        <v>21</v>
      </c>
      <c r="H448" s="5">
        <v>9763</v>
      </c>
      <c r="I448" s="1">
        <v>13475</v>
      </c>
      <c r="J448" s="1">
        <v>18240</v>
      </c>
      <c r="K448" s="1">
        <f t="shared" si="25"/>
        <v>814</v>
      </c>
      <c r="L448" s="1">
        <f t="shared" si="25"/>
        <v>1123</v>
      </c>
      <c r="M448" s="1">
        <f t="shared" si="25"/>
        <v>1520</v>
      </c>
      <c r="N448" t="str">
        <f t="shared" si="26"/>
        <v>PROVENCE-ALPES-CÔTE D'AZUR|83 - Var|CA Durance-Lubéron-Verdon Agglomération</v>
      </c>
      <c r="O448" t="str">
        <f t="shared" si="27"/>
        <v>Province</v>
      </c>
    </row>
    <row r="449" spans="1:15" x14ac:dyDescent="0.25">
      <c r="A449" t="s">
        <v>1025</v>
      </c>
      <c r="B449" t="str">
        <f t="shared" si="24"/>
        <v>Var</v>
      </c>
      <c r="C449" t="s">
        <v>1059</v>
      </c>
      <c r="D449" t="s">
        <v>1062</v>
      </c>
      <c r="E449" t="s">
        <v>1063</v>
      </c>
      <c r="F449" t="s">
        <v>1093</v>
      </c>
      <c r="G449" t="s">
        <v>21</v>
      </c>
      <c r="H449" s="5">
        <v>11652</v>
      </c>
      <c r="I449" s="1">
        <v>16000</v>
      </c>
      <c r="J449" s="1">
        <v>20820</v>
      </c>
      <c r="K449" s="1">
        <f t="shared" si="25"/>
        <v>971</v>
      </c>
      <c r="L449" s="1">
        <f t="shared" si="25"/>
        <v>1333</v>
      </c>
      <c r="M449" s="1">
        <f t="shared" si="25"/>
        <v>1735</v>
      </c>
      <c r="N449" t="str">
        <f t="shared" si="26"/>
        <v>PROVENCE-ALPES-CÔTE D'AZUR|83 - Var|CA Sud Sainte Baume</v>
      </c>
      <c r="O449" t="str">
        <f t="shared" si="27"/>
        <v>Province</v>
      </c>
    </row>
    <row r="450" spans="1:15" x14ac:dyDescent="0.25">
      <c r="A450" t="s">
        <v>1025</v>
      </c>
      <c r="B450" t="str">
        <f t="shared" ref="B450:B463" si="28">MID(C450,6,LEN(C450))</f>
        <v>Var</v>
      </c>
      <c r="C450" t="s">
        <v>1059</v>
      </c>
      <c r="D450" t="s">
        <v>1064</v>
      </c>
      <c r="E450" t="s">
        <v>1065</v>
      </c>
      <c r="F450" t="s">
        <v>1093</v>
      </c>
      <c r="G450" t="s">
        <v>21</v>
      </c>
      <c r="H450" s="5">
        <v>11412</v>
      </c>
      <c r="I450" s="1">
        <v>15692</v>
      </c>
      <c r="J450" s="1">
        <v>20760</v>
      </c>
      <c r="K450" s="1">
        <f t="shared" ref="K450:M463" si="29">ROUND(H450/12,0)</f>
        <v>951</v>
      </c>
      <c r="L450" s="1">
        <f t="shared" si="29"/>
        <v>1308</v>
      </c>
      <c r="M450" s="1">
        <f t="shared" si="29"/>
        <v>1730</v>
      </c>
      <c r="N450" t="str">
        <f t="shared" ref="N450:N463" si="30">SUBSTITUTE(
   UPPER(SUBSTITUTE(TRIM(A450), CHAR(160), " ")) &amp; "|" &amp;
   SUBSTITUTE(TRIM(C450), CHAR(160), " ") &amp; "|" &amp;
   SUBSTITUTE(TRIM(D450), CHAR(160), " "),
   "–", "-"
)</f>
        <v>PROVENCE-ALPES-CÔTE D'AZUR|83 - Var|CC de la Vallée du Gapeau</v>
      </c>
      <c r="O450" t="str">
        <f t="shared" ref="O450:O463" si="31">IF(A450="Hauts-de-France", "HDF",
IF(A450="Île-de-France", "IDF",
IF(OR(A450="Guadeloupe", A450="Martinique", A450="Guyane", A450="La Réunion", A450="Mayotte"), "OM", "Province")))</f>
        <v>Province</v>
      </c>
    </row>
    <row r="451" spans="1:15" x14ac:dyDescent="0.25">
      <c r="A451" t="s">
        <v>1025</v>
      </c>
      <c r="B451" t="str">
        <f t="shared" si="28"/>
        <v>Var</v>
      </c>
      <c r="C451" t="s">
        <v>1059</v>
      </c>
      <c r="D451" t="s">
        <v>1066</v>
      </c>
      <c r="E451" t="s">
        <v>1067</v>
      </c>
      <c r="F451" t="s">
        <v>1093</v>
      </c>
      <c r="G451" t="s">
        <v>21</v>
      </c>
      <c r="H451" s="5">
        <v>11418</v>
      </c>
      <c r="I451" s="1">
        <v>15600</v>
      </c>
      <c r="J451" s="1">
        <v>21096</v>
      </c>
      <c r="K451" s="1">
        <f t="shared" si="29"/>
        <v>952</v>
      </c>
      <c r="L451" s="1">
        <f t="shared" si="29"/>
        <v>1300</v>
      </c>
      <c r="M451" s="1">
        <f t="shared" si="29"/>
        <v>1758</v>
      </c>
      <c r="N451" t="str">
        <f t="shared" si="30"/>
        <v>PROVENCE-ALPES-CÔTE D'AZUR|83 - Var|CC du Golfe de Saint-Tropez</v>
      </c>
      <c r="O451" t="str">
        <f t="shared" si="31"/>
        <v>Province</v>
      </c>
    </row>
    <row r="452" spans="1:15" x14ac:dyDescent="0.25">
      <c r="A452" t="s">
        <v>1025</v>
      </c>
      <c r="B452" t="str">
        <f t="shared" si="28"/>
        <v>Var</v>
      </c>
      <c r="C452" t="s">
        <v>1059</v>
      </c>
      <c r="D452" t="s">
        <v>1068</v>
      </c>
      <c r="E452" t="s">
        <v>1069</v>
      </c>
      <c r="F452" t="s">
        <v>1093</v>
      </c>
      <c r="G452" t="s">
        <v>21</v>
      </c>
      <c r="H452" s="5">
        <v>10906</v>
      </c>
      <c r="I452" s="1">
        <v>14698</v>
      </c>
      <c r="J452" s="1">
        <v>19730</v>
      </c>
      <c r="K452" s="1">
        <f t="shared" si="29"/>
        <v>909</v>
      </c>
      <c r="L452" s="1">
        <f t="shared" si="29"/>
        <v>1225</v>
      </c>
      <c r="M452" s="1">
        <f t="shared" si="29"/>
        <v>1644</v>
      </c>
      <c r="N452" t="str">
        <f t="shared" si="30"/>
        <v>PROVENCE-ALPES-CÔTE D'AZUR|83 - Var|CC Méditerranée Porte des Maures</v>
      </c>
      <c r="O452" t="str">
        <f t="shared" si="31"/>
        <v>Province</v>
      </c>
    </row>
    <row r="453" spans="1:15" x14ac:dyDescent="0.25">
      <c r="A453" t="s">
        <v>1025</v>
      </c>
      <c r="B453" t="str">
        <f t="shared" si="28"/>
        <v>Var</v>
      </c>
      <c r="C453" t="s">
        <v>1059</v>
      </c>
      <c r="D453" t="s">
        <v>1070</v>
      </c>
      <c r="E453" t="s">
        <v>1071</v>
      </c>
      <c r="F453" t="s">
        <v>1093</v>
      </c>
      <c r="G453" t="s">
        <v>21</v>
      </c>
      <c r="H453" s="5">
        <v>9344</v>
      </c>
      <c r="I453" s="1">
        <v>13380</v>
      </c>
      <c r="J453" s="1">
        <v>18518</v>
      </c>
      <c r="K453" s="1">
        <f t="shared" si="29"/>
        <v>779</v>
      </c>
      <c r="L453" s="1">
        <f t="shared" si="29"/>
        <v>1115</v>
      </c>
      <c r="M453" s="1">
        <f t="shared" si="29"/>
        <v>1543</v>
      </c>
      <c r="N453" t="str">
        <f t="shared" si="30"/>
        <v>PROVENCE-ALPES-CÔTE D'AZUR|83 - Var|Dracénie Provence Verdon Agglomération</v>
      </c>
      <c r="O453" t="str">
        <f t="shared" si="31"/>
        <v>Province</v>
      </c>
    </row>
    <row r="454" spans="1:15" x14ac:dyDescent="0.25">
      <c r="A454" t="s">
        <v>1025</v>
      </c>
      <c r="B454" t="str">
        <f t="shared" si="28"/>
        <v>Var</v>
      </c>
      <c r="C454" t="s">
        <v>1059</v>
      </c>
      <c r="D454" t="s">
        <v>1072</v>
      </c>
      <c r="E454" t="s">
        <v>1073</v>
      </c>
      <c r="F454" t="s">
        <v>1093</v>
      </c>
      <c r="G454" t="s">
        <v>21</v>
      </c>
      <c r="H454" s="5">
        <v>10190</v>
      </c>
      <c r="I454" s="1">
        <v>14460</v>
      </c>
      <c r="J454" s="1">
        <v>20125</v>
      </c>
      <c r="K454" s="1">
        <f t="shared" si="29"/>
        <v>849</v>
      </c>
      <c r="L454" s="1">
        <f t="shared" si="29"/>
        <v>1205</v>
      </c>
      <c r="M454" s="1">
        <f t="shared" si="29"/>
        <v>1677</v>
      </c>
      <c r="N454" t="str">
        <f t="shared" si="30"/>
        <v>PROVENCE-ALPES-CÔTE D'AZUR|83 - Var|Estérel Côte d'Azur Agglomération</v>
      </c>
      <c r="O454" t="str">
        <f t="shared" si="31"/>
        <v>Province</v>
      </c>
    </row>
    <row r="455" spans="1:15" x14ac:dyDescent="0.25">
      <c r="A455" t="s">
        <v>1025</v>
      </c>
      <c r="B455" t="str">
        <f t="shared" si="28"/>
        <v>Var</v>
      </c>
      <c r="C455" t="s">
        <v>1059</v>
      </c>
      <c r="D455" t="s">
        <v>1056</v>
      </c>
      <c r="E455" t="s">
        <v>1057</v>
      </c>
      <c r="F455" t="s">
        <v>1093</v>
      </c>
      <c r="G455" t="s">
        <v>21</v>
      </c>
      <c r="H455" s="5">
        <v>9594</v>
      </c>
      <c r="I455" s="1">
        <v>14010</v>
      </c>
      <c r="J455" s="1">
        <v>19673</v>
      </c>
      <c r="K455" s="1">
        <f t="shared" si="29"/>
        <v>800</v>
      </c>
      <c r="L455" s="1">
        <f t="shared" si="29"/>
        <v>1168</v>
      </c>
      <c r="M455" s="1">
        <f t="shared" si="29"/>
        <v>1639</v>
      </c>
      <c r="N455" t="str">
        <f t="shared" si="30"/>
        <v>PROVENCE-ALPES-CÔTE D'AZUR|83 - Var|Métropole d'Aix-Marseille-Provence</v>
      </c>
      <c r="O455" t="str">
        <f t="shared" si="31"/>
        <v>Province</v>
      </c>
    </row>
    <row r="456" spans="1:15" x14ac:dyDescent="0.25">
      <c r="A456" t="s">
        <v>1025</v>
      </c>
      <c r="B456" t="str">
        <f t="shared" si="28"/>
        <v>Var</v>
      </c>
      <c r="C456" t="s">
        <v>1059</v>
      </c>
      <c r="D456" t="s">
        <v>1074</v>
      </c>
      <c r="E456" t="s">
        <v>1075</v>
      </c>
      <c r="F456" t="s">
        <v>1093</v>
      </c>
      <c r="G456" t="s">
        <v>21</v>
      </c>
      <c r="H456" s="5">
        <v>9455</v>
      </c>
      <c r="I456" s="1">
        <v>13548</v>
      </c>
      <c r="J456" s="1">
        <v>19012</v>
      </c>
      <c r="K456" s="1">
        <f t="shared" si="29"/>
        <v>788</v>
      </c>
      <c r="L456" s="1">
        <f t="shared" si="29"/>
        <v>1129</v>
      </c>
      <c r="M456" s="1">
        <f t="shared" si="29"/>
        <v>1584</v>
      </c>
      <c r="N456" t="str">
        <f t="shared" si="30"/>
        <v>PROVENCE-ALPES-CÔTE D'AZUR|83 - Var|Métropole Toulon-Provence-Méditerranée</v>
      </c>
      <c r="O456" t="str">
        <f t="shared" si="31"/>
        <v>Province</v>
      </c>
    </row>
    <row r="457" spans="1:15" x14ac:dyDescent="0.25">
      <c r="A457" t="s">
        <v>1025</v>
      </c>
      <c r="B457" t="str">
        <f t="shared" si="28"/>
        <v>Vaucluse</v>
      </c>
      <c r="C457" t="s">
        <v>1077</v>
      </c>
      <c r="D457" t="s">
        <v>1078</v>
      </c>
      <c r="E457" t="s">
        <v>1079</v>
      </c>
      <c r="F457" t="s">
        <v>1093</v>
      </c>
      <c r="G457" t="s">
        <v>21</v>
      </c>
      <c r="H457" s="5">
        <v>9743</v>
      </c>
      <c r="I457" s="1">
        <v>13717</v>
      </c>
      <c r="J457" s="1">
        <v>19080</v>
      </c>
      <c r="K457" s="1">
        <f t="shared" si="29"/>
        <v>812</v>
      </c>
      <c r="L457" s="1">
        <f t="shared" si="29"/>
        <v>1143</v>
      </c>
      <c r="M457" s="1">
        <f t="shared" si="29"/>
        <v>1590</v>
      </c>
      <c r="N457" t="str">
        <f t="shared" si="30"/>
        <v>PROVENCE-ALPES-CÔTE D'AZUR|84 - Vaucluse|CA des Sorgues du Comtat</v>
      </c>
      <c r="O457" t="str">
        <f t="shared" si="31"/>
        <v>Province</v>
      </c>
    </row>
    <row r="458" spans="1:15" x14ac:dyDescent="0.25">
      <c r="A458" t="s">
        <v>1025</v>
      </c>
      <c r="B458" t="str">
        <f t="shared" si="28"/>
        <v>Vaucluse</v>
      </c>
      <c r="C458" t="s">
        <v>1077</v>
      </c>
      <c r="D458" t="s">
        <v>872</v>
      </c>
      <c r="E458" t="s">
        <v>873</v>
      </c>
      <c r="F458" t="s">
        <v>1093</v>
      </c>
      <c r="G458" t="s">
        <v>21</v>
      </c>
      <c r="H458" s="5">
        <v>8952</v>
      </c>
      <c r="I458" s="1">
        <v>13055</v>
      </c>
      <c r="J458" s="1">
        <v>18303</v>
      </c>
      <c r="K458" s="1">
        <f t="shared" si="29"/>
        <v>746</v>
      </c>
      <c r="L458" s="1">
        <f t="shared" si="29"/>
        <v>1088</v>
      </c>
      <c r="M458" s="1">
        <f t="shared" si="29"/>
        <v>1525</v>
      </c>
      <c r="N458" t="str">
        <f t="shared" si="30"/>
        <v>PROVENCE-ALPES-CÔTE D'AZUR|84 - Vaucluse|CA du Grand Avignon (COGA)</v>
      </c>
      <c r="O458" t="str">
        <f t="shared" si="31"/>
        <v>Province</v>
      </c>
    </row>
    <row r="459" spans="1:15" x14ac:dyDescent="0.25">
      <c r="A459" t="s">
        <v>1025</v>
      </c>
      <c r="B459" t="str">
        <f t="shared" si="28"/>
        <v>Vaucluse</v>
      </c>
      <c r="C459" t="s">
        <v>1077</v>
      </c>
      <c r="D459" t="s">
        <v>1080</v>
      </c>
      <c r="E459" t="s">
        <v>1081</v>
      </c>
      <c r="F459" t="s">
        <v>1093</v>
      </c>
      <c r="G459" t="s">
        <v>21</v>
      </c>
      <c r="H459" s="5">
        <v>9960</v>
      </c>
      <c r="I459" s="1">
        <v>13560</v>
      </c>
      <c r="J459" s="1">
        <v>18401</v>
      </c>
      <c r="K459" s="1">
        <f t="shared" si="29"/>
        <v>830</v>
      </c>
      <c r="L459" s="1">
        <f t="shared" si="29"/>
        <v>1130</v>
      </c>
      <c r="M459" s="1">
        <f t="shared" si="29"/>
        <v>1533</v>
      </c>
      <c r="N459" t="str">
        <f t="shared" si="30"/>
        <v>PROVENCE-ALPES-CÔTE D'AZUR|84 - Vaucluse|CA Luberon Monts de Vaucluse</v>
      </c>
      <c r="O459" t="str">
        <f t="shared" si="31"/>
        <v>Province</v>
      </c>
    </row>
    <row r="460" spans="1:15" x14ac:dyDescent="0.25">
      <c r="A460" t="s">
        <v>1025</v>
      </c>
      <c r="B460" t="str">
        <f t="shared" si="28"/>
        <v>Vaucluse</v>
      </c>
      <c r="C460" t="s">
        <v>1077</v>
      </c>
      <c r="D460" t="s">
        <v>1082</v>
      </c>
      <c r="E460" t="s">
        <v>1083</v>
      </c>
      <c r="F460" t="s">
        <v>1093</v>
      </c>
      <c r="G460" t="s">
        <v>21</v>
      </c>
      <c r="H460" s="5">
        <v>8362</v>
      </c>
      <c r="I460" s="1">
        <v>12412</v>
      </c>
      <c r="J460" s="1">
        <v>16864</v>
      </c>
      <c r="K460" s="1">
        <f t="shared" si="29"/>
        <v>697</v>
      </c>
      <c r="L460" s="1">
        <f t="shared" si="29"/>
        <v>1034</v>
      </c>
      <c r="M460" s="1">
        <f t="shared" si="29"/>
        <v>1405</v>
      </c>
      <c r="N460" t="str">
        <f t="shared" si="30"/>
        <v>PROVENCE-ALPES-CÔTE D'AZUR|84 - Vaucluse|CA Ventoux-Comtat-Venaissin (COVE)</v>
      </c>
      <c r="O460" t="str">
        <f t="shared" si="31"/>
        <v>Province</v>
      </c>
    </row>
    <row r="461" spans="1:15" x14ac:dyDescent="0.25">
      <c r="A461" t="s">
        <v>1025</v>
      </c>
      <c r="B461" t="str">
        <f t="shared" si="28"/>
        <v>Vaucluse</v>
      </c>
      <c r="C461" t="s">
        <v>1077</v>
      </c>
      <c r="D461" t="s">
        <v>1034</v>
      </c>
      <c r="E461" t="s">
        <v>1035</v>
      </c>
      <c r="F461" t="s">
        <v>1093</v>
      </c>
      <c r="G461" t="s">
        <v>21</v>
      </c>
      <c r="H461" s="5">
        <v>9240</v>
      </c>
      <c r="I461" s="1">
        <v>12744</v>
      </c>
      <c r="J461" s="1">
        <v>17820</v>
      </c>
      <c r="K461" s="1">
        <f t="shared" si="29"/>
        <v>770</v>
      </c>
      <c r="L461" s="1">
        <f t="shared" si="29"/>
        <v>1062</v>
      </c>
      <c r="M461" s="1">
        <f t="shared" si="29"/>
        <v>1485</v>
      </c>
      <c r="N461" t="str">
        <f t="shared" si="30"/>
        <v>PROVENCE-ALPES-CÔTE D'AZUR|84 - Vaucluse|CC Pays d'Apt-Luberon</v>
      </c>
      <c r="O461" t="str">
        <f t="shared" si="31"/>
        <v>Province</v>
      </c>
    </row>
    <row r="462" spans="1:15" x14ac:dyDescent="0.25">
      <c r="A462" t="s">
        <v>1025</v>
      </c>
      <c r="B462" t="str">
        <f t="shared" si="28"/>
        <v>Vaucluse</v>
      </c>
      <c r="C462" t="s">
        <v>1077</v>
      </c>
      <c r="D462" t="s">
        <v>1056</v>
      </c>
      <c r="E462" t="s">
        <v>1057</v>
      </c>
      <c r="F462" t="s">
        <v>1093</v>
      </c>
      <c r="G462" t="s">
        <v>21</v>
      </c>
      <c r="H462" s="5">
        <v>9594</v>
      </c>
      <c r="I462" s="1">
        <v>14010</v>
      </c>
      <c r="J462" s="1">
        <v>19673</v>
      </c>
      <c r="K462" s="1">
        <f t="shared" si="29"/>
        <v>800</v>
      </c>
      <c r="L462" s="1">
        <f t="shared" si="29"/>
        <v>1168</v>
      </c>
      <c r="M462" s="1">
        <f t="shared" si="29"/>
        <v>1639</v>
      </c>
      <c r="N462" t="str">
        <f t="shared" si="30"/>
        <v>PROVENCE-ALPES-CÔTE D'AZUR|84 - Vaucluse|Métropole d'Aix-Marseille-Provence</v>
      </c>
      <c r="O462" t="str">
        <f t="shared" si="31"/>
        <v>Province</v>
      </c>
    </row>
    <row r="463" spans="1:15" x14ac:dyDescent="0.25">
      <c r="A463" t="s">
        <v>1025</v>
      </c>
      <c r="B463" t="str">
        <f t="shared" si="28"/>
        <v>Vaucluse</v>
      </c>
      <c r="C463" t="s">
        <v>1077</v>
      </c>
      <c r="D463" t="s">
        <v>1084</v>
      </c>
      <c r="E463" t="s">
        <v>1085</v>
      </c>
      <c r="F463" t="s">
        <v>1093</v>
      </c>
      <c r="G463" t="s">
        <v>21</v>
      </c>
      <c r="H463" s="5">
        <v>9122</v>
      </c>
      <c r="I463" s="1">
        <v>12659</v>
      </c>
      <c r="J463" s="1">
        <v>17759</v>
      </c>
      <c r="K463" s="1">
        <f t="shared" si="29"/>
        <v>760</v>
      </c>
      <c r="L463" s="1">
        <f t="shared" si="29"/>
        <v>1055</v>
      </c>
      <c r="M463" s="1">
        <f t="shared" si="29"/>
        <v>1480</v>
      </c>
      <c r="N463" t="str">
        <f t="shared" si="30"/>
        <v>PROVENCE-ALPES-CÔTE D'AZUR|84 - Vaucluse|Pays d'Orange en Provence</v>
      </c>
      <c r="O463" t="str">
        <f t="shared" si="31"/>
        <v>Province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A3257-07D0-45DE-A146-37836EF33EBD}">
  <dimension ref="A1:O465"/>
  <sheetViews>
    <sheetView workbookViewId="0">
      <selection activeCell="F18" sqref="F18"/>
    </sheetView>
  </sheetViews>
  <sheetFormatPr baseColWidth="10" defaultRowHeight="15" x14ac:dyDescent="0.25"/>
  <cols>
    <col min="1" max="1" width="25.28515625" bestFit="1" customWidth="1"/>
    <col min="2" max="2" width="23.5703125" bestFit="1" customWidth="1"/>
    <col min="3" max="3" width="27.28515625" bestFit="1" customWidth="1"/>
    <col min="4" max="4" width="56.140625" bestFit="1" customWidth="1"/>
    <col min="5" max="5" width="16.85546875" bestFit="1" customWidth="1"/>
    <col min="6" max="6" width="21.140625" bestFit="1" customWidth="1"/>
    <col min="7" max="7" width="32" bestFit="1" customWidth="1"/>
    <col min="8" max="10" width="12.28515625" bestFit="1" customWidth="1"/>
    <col min="11" max="13" width="14" bestFit="1" customWidth="1"/>
    <col min="14" max="14" width="102.140625" bestFit="1" customWidth="1"/>
    <col min="15" max="15" width="8.5703125" bestFit="1" customWidth="1"/>
  </cols>
  <sheetData>
    <row r="1" spans="1:15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s="1" t="s">
        <v>9</v>
      </c>
      <c r="K1" t="s">
        <v>10</v>
      </c>
      <c r="L1" s="1" t="s">
        <v>11</v>
      </c>
      <c r="M1" s="1" t="s">
        <v>12</v>
      </c>
      <c r="N1" t="s">
        <v>13</v>
      </c>
      <c r="O1" s="1" t="s">
        <v>14</v>
      </c>
    </row>
    <row r="2" spans="1:15" x14ac:dyDescent="0.25">
      <c r="A2" s="1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s="1">
        <v>10896</v>
      </c>
      <c r="I2" s="1">
        <v>14850</v>
      </c>
      <c r="J2" s="1">
        <v>19800</v>
      </c>
      <c r="K2" s="1">
        <f>H2/12</f>
        <v>908</v>
      </c>
      <c r="L2" s="1">
        <f>I2/12</f>
        <v>1237.5</v>
      </c>
      <c r="M2" s="1">
        <f>J2/12</f>
        <v>1650</v>
      </c>
      <c r="N2" t="str">
        <f t="shared" ref="N2:N65" si="0">SUBSTITUTE(
   UPPER(SUBSTITUTE(TRIM(A2), CHAR(160), " ")) &amp; "|" &amp;
   SUBSTITUTE(TRIM(C2), CHAR(160), " ") &amp; "|" &amp;
   SUBSTITUTE(TRIM(D2), CHAR(160), " "),
   "–", "-"
)</f>
        <v>AUVERGNE-RHÔNE-ALPES|01 - Ain|CA du Bassin de Bourg-en-Bresse</v>
      </c>
      <c r="O2" s="1" t="str">
        <f t="shared" ref="O2:O65" si="1">IF(A2="Hauts-de-France", "HDF",
IF(A2="Île-de-France", "IDF",
IF(OR(A2="Guadeloupe", A2="Martinique", A2="Guyane", A2="La Réunion", A2="Mayotte"), "OM", "Province")))</f>
        <v>Province</v>
      </c>
    </row>
    <row r="3" spans="1:15" x14ac:dyDescent="0.25">
      <c r="A3" s="1" t="s">
        <v>15</v>
      </c>
      <c r="B3" t="s">
        <v>16</v>
      </c>
      <c r="C3" t="s">
        <v>17</v>
      </c>
      <c r="D3" t="s">
        <v>22</v>
      </c>
      <c r="E3" t="s">
        <v>23</v>
      </c>
      <c r="F3" t="s">
        <v>20</v>
      </c>
      <c r="G3" t="s">
        <v>21</v>
      </c>
      <c r="H3" s="1">
        <v>12000</v>
      </c>
      <c r="I3" s="1">
        <v>18000</v>
      </c>
      <c r="J3" s="1">
        <v>24888</v>
      </c>
      <c r="K3" s="1">
        <f t="shared" ref="K3:M66" si="2">H3/12</f>
        <v>1000</v>
      </c>
      <c r="L3" s="1">
        <f t="shared" si="2"/>
        <v>1500</v>
      </c>
      <c r="M3" s="1">
        <f t="shared" si="2"/>
        <v>2074</v>
      </c>
      <c r="N3" t="str">
        <f t="shared" si="0"/>
        <v>AUVERGNE-RHÔNE-ALPES|01 - Ain|CA du Pays de Gex</v>
      </c>
      <c r="O3" s="1" t="str">
        <f t="shared" si="1"/>
        <v>Province</v>
      </c>
    </row>
    <row r="4" spans="1:15" x14ac:dyDescent="0.25">
      <c r="A4" s="1" t="s">
        <v>15</v>
      </c>
      <c r="B4" t="s">
        <v>16</v>
      </c>
      <c r="C4" t="s">
        <v>17</v>
      </c>
      <c r="D4" t="s">
        <v>24</v>
      </c>
      <c r="E4" t="s">
        <v>25</v>
      </c>
      <c r="F4" t="s">
        <v>20</v>
      </c>
      <c r="G4" t="s">
        <v>21</v>
      </c>
      <c r="H4" s="1">
        <v>10320</v>
      </c>
      <c r="I4" s="1">
        <v>14520</v>
      </c>
      <c r="J4" s="1">
        <v>19844</v>
      </c>
      <c r="K4" s="1">
        <f t="shared" si="2"/>
        <v>860</v>
      </c>
      <c r="L4" s="1">
        <f t="shared" si="2"/>
        <v>1210</v>
      </c>
      <c r="M4" s="1">
        <f t="shared" si="2"/>
        <v>1653.6666666666667</v>
      </c>
      <c r="N4" t="str">
        <f t="shared" si="0"/>
        <v>AUVERGNE-RHÔNE-ALPES|01 - Ain|CA Haut-Bugey Agglomération</v>
      </c>
      <c r="O4" s="1" t="str">
        <f t="shared" si="1"/>
        <v>Province</v>
      </c>
    </row>
    <row r="5" spans="1:15" x14ac:dyDescent="0.25">
      <c r="A5" s="1" t="s">
        <v>15</v>
      </c>
      <c r="B5" t="s">
        <v>16</v>
      </c>
      <c r="C5" t="s">
        <v>17</v>
      </c>
      <c r="D5" t="s">
        <v>26</v>
      </c>
      <c r="E5" t="s">
        <v>27</v>
      </c>
      <c r="F5" t="s">
        <v>20</v>
      </c>
      <c r="G5" t="s">
        <v>21</v>
      </c>
      <c r="H5" s="1">
        <v>10303</v>
      </c>
      <c r="I5" s="1">
        <v>14353</v>
      </c>
      <c r="J5" s="1">
        <v>19200</v>
      </c>
      <c r="K5" s="1">
        <f t="shared" si="2"/>
        <v>858.58333333333337</v>
      </c>
      <c r="L5" s="1">
        <f t="shared" si="2"/>
        <v>1196.0833333333333</v>
      </c>
      <c r="M5" s="1">
        <f t="shared" si="2"/>
        <v>1600</v>
      </c>
      <c r="N5" t="str">
        <f t="shared" si="0"/>
        <v>AUVERGNE-RHÔNE-ALPES|01 - Ain|CA Mâconnais Beaujolais Agglomération</v>
      </c>
      <c r="O5" s="1" t="str">
        <f t="shared" si="1"/>
        <v>Province</v>
      </c>
    </row>
    <row r="6" spans="1:15" x14ac:dyDescent="0.25">
      <c r="A6" s="1" t="s">
        <v>15</v>
      </c>
      <c r="B6" t="s">
        <v>16</v>
      </c>
      <c r="C6" t="s">
        <v>17</v>
      </c>
      <c r="D6" t="s">
        <v>28</v>
      </c>
      <c r="E6" t="s">
        <v>29</v>
      </c>
      <c r="F6" t="s">
        <v>20</v>
      </c>
      <c r="G6" t="s">
        <v>21</v>
      </c>
      <c r="H6" s="1">
        <v>10200</v>
      </c>
      <c r="I6" s="1">
        <v>14400</v>
      </c>
      <c r="J6" s="1">
        <v>19500</v>
      </c>
      <c r="K6" s="1">
        <f t="shared" si="2"/>
        <v>850</v>
      </c>
      <c r="L6" s="1">
        <f t="shared" si="2"/>
        <v>1200</v>
      </c>
      <c r="M6" s="1">
        <f t="shared" si="2"/>
        <v>1625</v>
      </c>
      <c r="N6" t="str">
        <f t="shared" si="0"/>
        <v>AUVERGNE-RHÔNE-ALPES|01 - Ain|CA Villefranche Beaujolais Saône</v>
      </c>
      <c r="O6" s="1" t="str">
        <f t="shared" si="1"/>
        <v>Province</v>
      </c>
    </row>
    <row r="7" spans="1:15" x14ac:dyDescent="0.25">
      <c r="A7" s="1" t="s">
        <v>15</v>
      </c>
      <c r="B7" t="s">
        <v>16</v>
      </c>
      <c r="C7" t="s">
        <v>17</v>
      </c>
      <c r="D7" t="s">
        <v>30</v>
      </c>
      <c r="E7" t="s">
        <v>31</v>
      </c>
      <c r="F7" t="s">
        <v>20</v>
      </c>
      <c r="G7" t="s">
        <v>21</v>
      </c>
      <c r="H7" s="1">
        <v>10748</v>
      </c>
      <c r="I7" s="1">
        <v>14800</v>
      </c>
      <c r="J7" s="1">
        <v>19209</v>
      </c>
      <c r="K7" s="1">
        <f t="shared" si="2"/>
        <v>895.66666666666663</v>
      </c>
      <c r="L7" s="1">
        <f t="shared" si="2"/>
        <v>1233.3333333333333</v>
      </c>
      <c r="M7" s="1">
        <f t="shared" si="2"/>
        <v>1600.75</v>
      </c>
      <c r="N7" t="str">
        <f t="shared" si="0"/>
        <v>AUVERGNE-RHÔNE-ALPES|01 - Ain|CC Bugey Sud</v>
      </c>
      <c r="O7" s="1" t="str">
        <f t="shared" si="1"/>
        <v>Province</v>
      </c>
    </row>
    <row r="8" spans="1:15" x14ac:dyDescent="0.25">
      <c r="A8" s="1" t="s">
        <v>15</v>
      </c>
      <c r="B8" t="s">
        <v>16</v>
      </c>
      <c r="C8" t="s">
        <v>17</v>
      </c>
      <c r="D8" t="s">
        <v>32</v>
      </c>
      <c r="E8" t="s">
        <v>33</v>
      </c>
      <c r="F8" t="s">
        <v>20</v>
      </c>
      <c r="G8" t="s">
        <v>21</v>
      </c>
      <c r="H8" s="1">
        <v>12347</v>
      </c>
      <c r="I8" s="1">
        <v>16959</v>
      </c>
      <c r="J8" s="1">
        <v>21822</v>
      </c>
      <c r="K8" s="1">
        <f t="shared" si="2"/>
        <v>1028.9166666666667</v>
      </c>
      <c r="L8" s="1">
        <f t="shared" si="2"/>
        <v>1413.25</v>
      </c>
      <c r="M8" s="1">
        <f t="shared" si="2"/>
        <v>1818.5</v>
      </c>
      <c r="N8" t="str">
        <f t="shared" si="0"/>
        <v>AUVERGNE-RHÔNE-ALPES|01 - Ain|CC de la Côtière à Montluel</v>
      </c>
      <c r="O8" s="1" t="str">
        <f t="shared" si="1"/>
        <v>Province</v>
      </c>
    </row>
    <row r="9" spans="1:15" x14ac:dyDescent="0.25">
      <c r="A9" s="1" t="s">
        <v>15</v>
      </c>
      <c r="B9" t="s">
        <v>16</v>
      </c>
      <c r="C9" t="s">
        <v>17</v>
      </c>
      <c r="D9" t="s">
        <v>34</v>
      </c>
      <c r="E9" t="s">
        <v>35</v>
      </c>
      <c r="F9" t="s">
        <v>20</v>
      </c>
      <c r="G9" t="s">
        <v>21</v>
      </c>
      <c r="H9" s="1">
        <v>11317</v>
      </c>
      <c r="I9" s="1">
        <v>15365</v>
      </c>
      <c r="J9" s="1">
        <v>19955</v>
      </c>
      <c r="K9" s="1">
        <f t="shared" si="2"/>
        <v>943.08333333333337</v>
      </c>
      <c r="L9" s="1">
        <f t="shared" si="2"/>
        <v>1280.4166666666667</v>
      </c>
      <c r="M9" s="1">
        <f t="shared" si="2"/>
        <v>1662.9166666666667</v>
      </c>
      <c r="N9" t="str">
        <f t="shared" si="0"/>
        <v>AUVERGNE-RHÔNE-ALPES|01 - Ain|CC de la Plaine de l'Ain</v>
      </c>
      <c r="O9" s="1" t="str">
        <f t="shared" si="1"/>
        <v>Province</v>
      </c>
    </row>
    <row r="10" spans="1:15" x14ac:dyDescent="0.25">
      <c r="A10" s="1" t="s">
        <v>15</v>
      </c>
      <c r="B10" t="s">
        <v>36</v>
      </c>
      <c r="C10" t="s">
        <v>37</v>
      </c>
      <c r="D10" t="s">
        <v>38</v>
      </c>
      <c r="E10" t="s">
        <v>39</v>
      </c>
      <c r="F10" t="s">
        <v>20</v>
      </c>
      <c r="G10" t="s">
        <v>21</v>
      </c>
      <c r="H10" s="1">
        <v>8003</v>
      </c>
      <c r="I10" s="1">
        <v>11600</v>
      </c>
      <c r="J10" s="1">
        <v>15732</v>
      </c>
      <c r="K10" s="1">
        <f t="shared" si="2"/>
        <v>666.91666666666663</v>
      </c>
      <c r="L10" s="1">
        <f t="shared" si="2"/>
        <v>966.66666666666663</v>
      </c>
      <c r="M10" s="1">
        <f t="shared" si="2"/>
        <v>1311</v>
      </c>
      <c r="N10" t="str">
        <f t="shared" si="0"/>
        <v>AUVERGNE-RHÔNE-ALPES|03 - Allier|CA Montluçon Communauté</v>
      </c>
      <c r="O10" s="1" t="str">
        <f t="shared" si="1"/>
        <v>Province</v>
      </c>
    </row>
    <row r="11" spans="1:15" x14ac:dyDescent="0.25">
      <c r="A11" s="1" t="s">
        <v>15</v>
      </c>
      <c r="B11" t="s">
        <v>36</v>
      </c>
      <c r="C11" t="s">
        <v>37</v>
      </c>
      <c r="D11" t="s">
        <v>40</v>
      </c>
      <c r="E11" t="s">
        <v>41</v>
      </c>
      <c r="F11" t="s">
        <v>20</v>
      </c>
      <c r="G11" t="s">
        <v>21</v>
      </c>
      <c r="H11" s="1">
        <v>9518</v>
      </c>
      <c r="I11" s="1">
        <v>13049</v>
      </c>
      <c r="J11" s="1">
        <v>18372</v>
      </c>
      <c r="K11" s="1">
        <f t="shared" si="2"/>
        <v>793.16666666666663</v>
      </c>
      <c r="L11" s="1">
        <f t="shared" si="2"/>
        <v>1087.4166666666667</v>
      </c>
      <c r="M11" s="1">
        <f t="shared" si="2"/>
        <v>1531</v>
      </c>
      <c r="N11" t="str">
        <f t="shared" si="0"/>
        <v>AUVERGNE-RHÔNE-ALPES|03 - Allier|CA Moulins Communauté</v>
      </c>
      <c r="O11" s="1" t="str">
        <f t="shared" si="1"/>
        <v>Province</v>
      </c>
    </row>
    <row r="12" spans="1:15" x14ac:dyDescent="0.25">
      <c r="A12" s="1" t="s">
        <v>15</v>
      </c>
      <c r="B12" t="s">
        <v>36</v>
      </c>
      <c r="C12" t="s">
        <v>37</v>
      </c>
      <c r="D12" t="s">
        <v>42</v>
      </c>
      <c r="E12" t="s">
        <v>43</v>
      </c>
      <c r="F12" t="s">
        <v>20</v>
      </c>
      <c r="G12" t="s">
        <v>21</v>
      </c>
      <c r="H12" s="1">
        <v>9108</v>
      </c>
      <c r="I12" s="1">
        <v>12828</v>
      </c>
      <c r="J12" s="1">
        <v>17650</v>
      </c>
      <c r="K12" s="1">
        <f t="shared" si="2"/>
        <v>759</v>
      </c>
      <c r="L12" s="1">
        <f t="shared" si="2"/>
        <v>1069</v>
      </c>
      <c r="M12" s="1">
        <f t="shared" si="2"/>
        <v>1470.8333333333333</v>
      </c>
      <c r="N12" t="str">
        <f t="shared" si="0"/>
        <v>AUVERGNE-RHÔNE-ALPES|03 - Allier|CA Vichy Communauté</v>
      </c>
      <c r="O12" s="1" t="str">
        <f t="shared" si="1"/>
        <v>Province</v>
      </c>
    </row>
    <row r="13" spans="1:15" x14ac:dyDescent="0.25">
      <c r="A13" s="1" t="s">
        <v>15</v>
      </c>
      <c r="B13" t="s">
        <v>44</v>
      </c>
      <c r="C13" t="s">
        <v>45</v>
      </c>
      <c r="D13" t="s">
        <v>46</v>
      </c>
      <c r="E13" t="s">
        <v>47</v>
      </c>
      <c r="F13" t="s">
        <v>20</v>
      </c>
      <c r="G13" t="s">
        <v>21</v>
      </c>
      <c r="H13" s="1">
        <v>9933</v>
      </c>
      <c r="I13" s="1">
        <v>13443</v>
      </c>
      <c r="J13" s="1">
        <v>18741</v>
      </c>
      <c r="K13" s="1">
        <f t="shared" si="2"/>
        <v>827.75</v>
      </c>
      <c r="L13" s="1">
        <f t="shared" si="2"/>
        <v>1120.25</v>
      </c>
      <c r="M13" s="1">
        <f t="shared" si="2"/>
        <v>1561.75</v>
      </c>
      <c r="N13" t="str">
        <f t="shared" si="0"/>
        <v>AUVERGNE-RHÔNE-ALPES|07 - Ardèche|CA Annonay Rhône Agglo</v>
      </c>
      <c r="O13" s="1" t="str">
        <f t="shared" si="1"/>
        <v>Province</v>
      </c>
    </row>
    <row r="14" spans="1:15" x14ac:dyDescent="0.25">
      <c r="A14" s="1" t="s">
        <v>15</v>
      </c>
      <c r="B14" t="s">
        <v>44</v>
      </c>
      <c r="C14" t="s">
        <v>45</v>
      </c>
      <c r="D14" t="s">
        <v>48</v>
      </c>
      <c r="E14" t="s">
        <v>49</v>
      </c>
      <c r="F14" t="s">
        <v>20</v>
      </c>
      <c r="G14" t="s">
        <v>21</v>
      </c>
      <c r="H14" s="1">
        <v>9830</v>
      </c>
      <c r="I14" s="1">
        <v>13241</v>
      </c>
      <c r="J14" s="1">
        <v>17973</v>
      </c>
      <c r="K14" s="1">
        <f t="shared" si="2"/>
        <v>819.16666666666663</v>
      </c>
      <c r="L14" s="1">
        <f t="shared" si="2"/>
        <v>1103.4166666666667</v>
      </c>
      <c r="M14" s="1">
        <f t="shared" si="2"/>
        <v>1497.75</v>
      </c>
      <c r="N14" t="str">
        <f t="shared" si="0"/>
        <v>AUVERGNE-RHÔNE-ALPES|07 - Ardèche|CA Arche Agglo</v>
      </c>
      <c r="O14" s="1" t="str">
        <f t="shared" si="1"/>
        <v>Province</v>
      </c>
    </row>
    <row r="15" spans="1:15" x14ac:dyDescent="0.25">
      <c r="A15" s="1" t="s">
        <v>15</v>
      </c>
      <c r="B15" t="s">
        <v>44</v>
      </c>
      <c r="C15" t="s">
        <v>45</v>
      </c>
      <c r="D15" t="s">
        <v>50</v>
      </c>
      <c r="E15" t="s">
        <v>51</v>
      </c>
      <c r="F15" t="s">
        <v>20</v>
      </c>
      <c r="G15" t="s">
        <v>21</v>
      </c>
      <c r="H15" s="1">
        <v>8748</v>
      </c>
      <c r="I15" s="1">
        <v>12909</v>
      </c>
      <c r="J15" s="1">
        <v>17944</v>
      </c>
      <c r="K15" s="1">
        <f t="shared" si="2"/>
        <v>729</v>
      </c>
      <c r="L15" s="1">
        <f t="shared" si="2"/>
        <v>1075.75</v>
      </c>
      <c r="M15" s="1">
        <f t="shared" si="2"/>
        <v>1495.3333333333333</v>
      </c>
      <c r="N15" t="str">
        <f t="shared" si="0"/>
        <v>AUVERGNE-RHÔNE-ALPES|07 - Ardèche|CA Privas Centre Ardèche</v>
      </c>
      <c r="O15" s="1" t="str">
        <f t="shared" si="1"/>
        <v>Province</v>
      </c>
    </row>
    <row r="16" spans="1:15" x14ac:dyDescent="0.25">
      <c r="A16" s="1" t="s">
        <v>15</v>
      </c>
      <c r="B16" t="s">
        <v>44</v>
      </c>
      <c r="C16" t="s">
        <v>45</v>
      </c>
      <c r="D16" t="s">
        <v>52</v>
      </c>
      <c r="E16" t="s">
        <v>53</v>
      </c>
      <c r="F16" t="s">
        <v>20</v>
      </c>
      <c r="G16" t="s">
        <v>21</v>
      </c>
      <c r="H16" s="1">
        <v>9600</v>
      </c>
      <c r="I16" s="1">
        <v>13200</v>
      </c>
      <c r="J16" s="1">
        <v>17298</v>
      </c>
      <c r="K16" s="1">
        <f t="shared" si="2"/>
        <v>800</v>
      </c>
      <c r="L16" s="1">
        <f t="shared" si="2"/>
        <v>1100</v>
      </c>
      <c r="M16" s="1">
        <f t="shared" si="2"/>
        <v>1441.5</v>
      </c>
      <c r="N16" t="str">
        <f t="shared" si="0"/>
        <v>AUVERGNE-RHÔNE-ALPES|07 - Ardèche|CC Ardèche Rhône Coiron</v>
      </c>
      <c r="O16" s="1" t="str">
        <f t="shared" si="1"/>
        <v>Province</v>
      </c>
    </row>
    <row r="17" spans="1:15" x14ac:dyDescent="0.25">
      <c r="A17" s="1" t="s">
        <v>15</v>
      </c>
      <c r="B17" t="s">
        <v>44</v>
      </c>
      <c r="C17" t="s">
        <v>45</v>
      </c>
      <c r="D17" t="s">
        <v>54</v>
      </c>
      <c r="E17" t="s">
        <v>55</v>
      </c>
      <c r="F17" t="s">
        <v>20</v>
      </c>
      <c r="G17" t="s">
        <v>21</v>
      </c>
      <c r="H17" s="1">
        <v>7000</v>
      </c>
      <c r="I17" s="1">
        <v>11870</v>
      </c>
      <c r="J17" s="1">
        <v>15560</v>
      </c>
      <c r="K17" s="1">
        <f t="shared" si="2"/>
        <v>583.33333333333337</v>
      </c>
      <c r="L17" s="1">
        <f t="shared" si="2"/>
        <v>989.16666666666663</v>
      </c>
      <c r="M17" s="1">
        <f t="shared" si="2"/>
        <v>1296.6666666666667</v>
      </c>
      <c r="N17" t="str">
        <f t="shared" si="0"/>
        <v>AUVERGNE-RHÔNE-ALPES|07 - Ardèche|CC de Cèze Cévennes</v>
      </c>
      <c r="O17" s="1" t="str">
        <f t="shared" si="1"/>
        <v>Province</v>
      </c>
    </row>
    <row r="18" spans="1:15" x14ac:dyDescent="0.25">
      <c r="A18" s="1" t="s">
        <v>15</v>
      </c>
      <c r="B18" t="s">
        <v>44</v>
      </c>
      <c r="C18" t="s">
        <v>45</v>
      </c>
      <c r="D18" t="s">
        <v>56</v>
      </c>
      <c r="E18" t="s">
        <v>57</v>
      </c>
      <c r="F18" t="s">
        <v>20</v>
      </c>
      <c r="G18" t="s">
        <v>21</v>
      </c>
      <c r="H18" s="1">
        <v>8805</v>
      </c>
      <c r="I18" s="1">
        <v>12356</v>
      </c>
      <c r="J18" s="1">
        <v>17251</v>
      </c>
      <c r="K18" s="1">
        <f t="shared" si="2"/>
        <v>733.75</v>
      </c>
      <c r="L18" s="1">
        <f t="shared" si="2"/>
        <v>1029.6666666666667</v>
      </c>
      <c r="M18" s="1">
        <f t="shared" si="2"/>
        <v>1437.5833333333333</v>
      </c>
      <c r="N18" t="str">
        <f t="shared" si="0"/>
        <v>AUVERGNE-RHÔNE-ALPES|07 - Ardèche|CC du Bassin d'Aubenas</v>
      </c>
      <c r="O18" s="1" t="str">
        <f t="shared" si="1"/>
        <v>Province</v>
      </c>
    </row>
    <row r="19" spans="1:15" x14ac:dyDescent="0.25">
      <c r="A19" s="1" t="s">
        <v>15</v>
      </c>
      <c r="B19" t="s">
        <v>44</v>
      </c>
      <c r="C19" t="s">
        <v>45</v>
      </c>
      <c r="D19" t="s">
        <v>58</v>
      </c>
      <c r="E19" t="s">
        <v>59</v>
      </c>
      <c r="F19" t="s">
        <v>20</v>
      </c>
      <c r="G19" t="s">
        <v>21</v>
      </c>
      <c r="H19" s="1">
        <v>10081</v>
      </c>
      <c r="I19" s="1">
        <v>13692</v>
      </c>
      <c r="J19" s="1">
        <v>18426</v>
      </c>
      <c r="K19" s="1">
        <f t="shared" si="2"/>
        <v>840.08333333333337</v>
      </c>
      <c r="L19" s="1">
        <f t="shared" si="2"/>
        <v>1141</v>
      </c>
      <c r="M19" s="1">
        <f t="shared" si="2"/>
        <v>1535.5</v>
      </c>
      <c r="N19" t="str">
        <f t="shared" si="0"/>
        <v>AUVERGNE-RHÔNE-ALPES|07 - Ardèche|CC Porte de Dromardèche</v>
      </c>
      <c r="O19" s="1" t="str">
        <f t="shared" si="1"/>
        <v>Province</v>
      </c>
    </row>
    <row r="20" spans="1:15" x14ac:dyDescent="0.25">
      <c r="A20" s="1" t="s">
        <v>15</v>
      </c>
      <c r="B20" t="s">
        <v>44</v>
      </c>
      <c r="C20" t="s">
        <v>45</v>
      </c>
      <c r="D20" t="s">
        <v>60</v>
      </c>
      <c r="E20" t="s">
        <v>61</v>
      </c>
      <c r="F20" t="s">
        <v>20</v>
      </c>
      <c r="G20" t="s">
        <v>21</v>
      </c>
      <c r="H20" s="1">
        <v>11113</v>
      </c>
      <c r="I20" s="1">
        <v>14724</v>
      </c>
      <c r="J20" s="1">
        <v>19036</v>
      </c>
      <c r="K20" s="1">
        <f t="shared" si="2"/>
        <v>926.08333333333337</v>
      </c>
      <c r="L20" s="1">
        <f t="shared" si="2"/>
        <v>1227</v>
      </c>
      <c r="M20" s="1">
        <f t="shared" si="2"/>
        <v>1586.3333333333333</v>
      </c>
      <c r="N20" t="str">
        <f t="shared" si="0"/>
        <v>AUVERGNE-RHÔNE-ALPES|07 - Ardèche|CC Rhône Crussol</v>
      </c>
      <c r="O20" s="1" t="str">
        <f t="shared" si="1"/>
        <v>Province</v>
      </c>
    </row>
    <row r="21" spans="1:15" x14ac:dyDescent="0.25">
      <c r="A21" s="1" t="s">
        <v>15</v>
      </c>
      <c r="B21" t="s">
        <v>62</v>
      </c>
      <c r="C21" t="s">
        <v>63</v>
      </c>
      <c r="D21" t="s">
        <v>64</v>
      </c>
      <c r="E21" t="s">
        <v>65</v>
      </c>
      <c r="F21" t="s">
        <v>20</v>
      </c>
      <c r="G21" t="s">
        <v>21</v>
      </c>
      <c r="H21" s="1">
        <v>9067</v>
      </c>
      <c r="I21" s="1">
        <v>12966</v>
      </c>
      <c r="J21" s="1">
        <v>18276</v>
      </c>
      <c r="K21" s="1">
        <f t="shared" si="2"/>
        <v>755.58333333333337</v>
      </c>
      <c r="L21" s="1">
        <f t="shared" si="2"/>
        <v>1080.5</v>
      </c>
      <c r="M21" s="1">
        <f t="shared" si="2"/>
        <v>1523</v>
      </c>
      <c r="N21" t="str">
        <f t="shared" si="0"/>
        <v>AUVERGNE-RHÔNE-ALPES|15 - Cantal|CA du Bassin d'Aurillac</v>
      </c>
      <c r="O21" s="1" t="str">
        <f t="shared" si="1"/>
        <v>Province</v>
      </c>
    </row>
    <row r="22" spans="1:15" x14ac:dyDescent="0.25">
      <c r="A22" s="1" t="s">
        <v>15</v>
      </c>
      <c r="B22" t="s">
        <v>66</v>
      </c>
      <c r="C22" t="s">
        <v>67</v>
      </c>
      <c r="D22" t="s">
        <v>48</v>
      </c>
      <c r="E22" t="s">
        <v>49</v>
      </c>
      <c r="F22" t="s">
        <v>20</v>
      </c>
      <c r="G22" t="s">
        <v>21</v>
      </c>
      <c r="H22" s="1">
        <v>9830</v>
      </c>
      <c r="I22" s="1">
        <v>13241</v>
      </c>
      <c r="J22" s="1">
        <v>17973</v>
      </c>
      <c r="K22" s="1">
        <f t="shared" si="2"/>
        <v>819.16666666666663</v>
      </c>
      <c r="L22" s="1">
        <f t="shared" si="2"/>
        <v>1103.4166666666667</v>
      </c>
      <c r="M22" s="1">
        <f t="shared" si="2"/>
        <v>1497.75</v>
      </c>
      <c r="N22" t="str">
        <f t="shared" si="0"/>
        <v>AUVERGNE-RHÔNE-ALPES|26 - Drôme|CA Arche Agglo</v>
      </c>
      <c r="O22" s="1" t="str">
        <f t="shared" si="1"/>
        <v>Province</v>
      </c>
    </row>
    <row r="23" spans="1:15" x14ac:dyDescent="0.25">
      <c r="A23" s="1" t="s">
        <v>15</v>
      </c>
      <c r="B23" t="s">
        <v>66</v>
      </c>
      <c r="C23" t="s">
        <v>67</v>
      </c>
      <c r="D23" t="s">
        <v>68</v>
      </c>
      <c r="E23" t="s">
        <v>69</v>
      </c>
      <c r="F23" t="s">
        <v>20</v>
      </c>
      <c r="G23" t="s">
        <v>21</v>
      </c>
      <c r="H23" s="1">
        <v>9572</v>
      </c>
      <c r="I23" s="1">
        <v>12906</v>
      </c>
      <c r="J23" s="1">
        <v>17602</v>
      </c>
      <c r="K23" s="1">
        <f t="shared" si="2"/>
        <v>797.66666666666663</v>
      </c>
      <c r="L23" s="1">
        <f t="shared" si="2"/>
        <v>1075.5</v>
      </c>
      <c r="M23" s="1">
        <f t="shared" si="2"/>
        <v>1466.8333333333333</v>
      </c>
      <c r="N23" t="str">
        <f t="shared" si="0"/>
        <v>AUVERGNE-RHÔNE-ALPES|26 - Drôme|CA Montélimar Agglomération</v>
      </c>
      <c r="O23" s="1" t="str">
        <f t="shared" si="1"/>
        <v>Province</v>
      </c>
    </row>
    <row r="24" spans="1:15" x14ac:dyDescent="0.25">
      <c r="A24" s="1" t="s">
        <v>15</v>
      </c>
      <c r="B24" t="s">
        <v>66</v>
      </c>
      <c r="C24" t="s">
        <v>67</v>
      </c>
      <c r="D24" t="s">
        <v>70</v>
      </c>
      <c r="E24" t="s">
        <v>71</v>
      </c>
      <c r="F24" t="s">
        <v>20</v>
      </c>
      <c r="G24" t="s">
        <v>21</v>
      </c>
      <c r="H24" s="1">
        <v>10000</v>
      </c>
      <c r="I24" s="1">
        <v>13580</v>
      </c>
      <c r="J24" s="1">
        <v>18765</v>
      </c>
      <c r="K24" s="1">
        <f t="shared" si="2"/>
        <v>833.33333333333337</v>
      </c>
      <c r="L24" s="1">
        <f t="shared" si="2"/>
        <v>1131.6666666666667</v>
      </c>
      <c r="M24" s="1">
        <f t="shared" si="2"/>
        <v>1563.75</v>
      </c>
      <c r="N24" t="str">
        <f t="shared" si="0"/>
        <v>AUVERGNE-RHÔNE-ALPES|26 - Drôme|CA Valence Romans Agglo</v>
      </c>
      <c r="O24" s="1" t="str">
        <f t="shared" si="1"/>
        <v>Province</v>
      </c>
    </row>
    <row r="25" spans="1:15" x14ac:dyDescent="0.25">
      <c r="A25" s="1" t="s">
        <v>15</v>
      </c>
      <c r="B25" t="s">
        <v>66</v>
      </c>
      <c r="C25" t="s">
        <v>67</v>
      </c>
      <c r="D25" t="s">
        <v>72</v>
      </c>
      <c r="E25" t="s">
        <v>73</v>
      </c>
      <c r="F25" t="s">
        <v>20</v>
      </c>
      <c r="G25" t="s">
        <v>21</v>
      </c>
      <c r="H25" s="1">
        <v>9711</v>
      </c>
      <c r="I25" s="1">
        <v>13194</v>
      </c>
      <c r="J25" s="1">
        <v>18092</v>
      </c>
      <c r="K25" s="1">
        <f t="shared" si="2"/>
        <v>809.25</v>
      </c>
      <c r="L25" s="1">
        <f t="shared" si="2"/>
        <v>1099.5</v>
      </c>
      <c r="M25" s="1">
        <f t="shared" si="2"/>
        <v>1507.6666666666667</v>
      </c>
      <c r="N25" t="str">
        <f t="shared" si="0"/>
        <v>AUVERGNE-RHÔNE-ALPES|26 - Drôme|CC du Val de Drôme en Biovallée</v>
      </c>
      <c r="O25" s="1" t="str">
        <f t="shared" si="1"/>
        <v>Province</v>
      </c>
    </row>
    <row r="26" spans="1:15" x14ac:dyDescent="0.25">
      <c r="A26" s="1" t="s">
        <v>15</v>
      </c>
      <c r="B26" t="s">
        <v>66</v>
      </c>
      <c r="C26" t="s">
        <v>67</v>
      </c>
      <c r="D26" t="s">
        <v>58</v>
      </c>
      <c r="E26" t="s">
        <v>59</v>
      </c>
      <c r="F26" t="s">
        <v>20</v>
      </c>
      <c r="G26" t="s">
        <v>21</v>
      </c>
      <c r="H26" s="1">
        <v>10081</v>
      </c>
      <c r="I26" s="1">
        <v>13692</v>
      </c>
      <c r="J26" s="1">
        <v>18426</v>
      </c>
      <c r="K26" s="1">
        <f t="shared" si="2"/>
        <v>840.08333333333337</v>
      </c>
      <c r="L26" s="1">
        <f t="shared" si="2"/>
        <v>1141</v>
      </c>
      <c r="M26" s="1">
        <f t="shared" si="2"/>
        <v>1535.5</v>
      </c>
      <c r="N26" t="str">
        <f t="shared" si="0"/>
        <v>AUVERGNE-RHÔNE-ALPES|26 - Drôme|CC Porte de Dromardèche</v>
      </c>
      <c r="O26" s="1" t="str">
        <f t="shared" si="1"/>
        <v>Province</v>
      </c>
    </row>
    <row r="27" spans="1:15" x14ac:dyDescent="0.25">
      <c r="A27" s="1" t="s">
        <v>15</v>
      </c>
      <c r="B27" t="s">
        <v>74</v>
      </c>
      <c r="C27" t="s">
        <v>75</v>
      </c>
      <c r="D27" t="s">
        <v>76</v>
      </c>
      <c r="E27" t="s">
        <v>77</v>
      </c>
      <c r="F27" t="s">
        <v>20</v>
      </c>
      <c r="G27" t="s">
        <v>21</v>
      </c>
      <c r="H27" s="1">
        <v>11018</v>
      </c>
      <c r="I27" s="1">
        <v>14700</v>
      </c>
      <c r="J27" s="1">
        <v>19680</v>
      </c>
      <c r="K27" s="1">
        <f t="shared" si="2"/>
        <v>918.16666666666663</v>
      </c>
      <c r="L27" s="1">
        <f t="shared" si="2"/>
        <v>1225</v>
      </c>
      <c r="M27" s="1">
        <f t="shared" si="2"/>
        <v>1640</v>
      </c>
      <c r="N27" t="str">
        <f t="shared" si="0"/>
        <v>AUVERGNE-RHÔNE-ALPES|38 - Isère|CA du Pays Voironnais</v>
      </c>
      <c r="O27" s="1" t="str">
        <f t="shared" si="1"/>
        <v>Province</v>
      </c>
    </row>
    <row r="28" spans="1:15" x14ac:dyDescent="0.25">
      <c r="A28" s="1" t="s">
        <v>15</v>
      </c>
      <c r="B28" t="s">
        <v>74</v>
      </c>
      <c r="C28" t="s">
        <v>75</v>
      </c>
      <c r="D28" t="s">
        <v>78</v>
      </c>
      <c r="E28" t="s">
        <v>79</v>
      </c>
      <c r="F28" t="s">
        <v>20</v>
      </c>
      <c r="G28" t="s">
        <v>21</v>
      </c>
      <c r="H28" s="1">
        <v>10899</v>
      </c>
      <c r="I28" s="1">
        <v>15000</v>
      </c>
      <c r="J28" s="1">
        <v>19978</v>
      </c>
      <c r="K28" s="1">
        <f t="shared" si="2"/>
        <v>908.25</v>
      </c>
      <c r="L28" s="1">
        <f t="shared" si="2"/>
        <v>1250</v>
      </c>
      <c r="M28" s="1">
        <f t="shared" si="2"/>
        <v>1664.8333333333333</v>
      </c>
      <c r="N28" t="str">
        <f t="shared" si="0"/>
        <v>AUVERGNE-RHÔNE-ALPES|38 - Isère|CA Porte de l'Isère (CAPI)</v>
      </c>
      <c r="O28" s="1" t="str">
        <f t="shared" si="1"/>
        <v>Province</v>
      </c>
    </row>
    <row r="29" spans="1:15" x14ac:dyDescent="0.25">
      <c r="A29" s="1" t="s">
        <v>15</v>
      </c>
      <c r="B29" t="s">
        <v>74</v>
      </c>
      <c r="C29" t="s">
        <v>75</v>
      </c>
      <c r="D29" t="s">
        <v>80</v>
      </c>
      <c r="E29" t="s">
        <v>81</v>
      </c>
      <c r="F29" t="s">
        <v>20</v>
      </c>
      <c r="G29" t="s">
        <v>21</v>
      </c>
      <c r="H29" s="1">
        <v>10672</v>
      </c>
      <c r="I29" s="1">
        <v>14544</v>
      </c>
      <c r="J29" s="1">
        <v>19440</v>
      </c>
      <c r="K29" s="1">
        <f t="shared" si="2"/>
        <v>889.33333333333337</v>
      </c>
      <c r="L29" s="1">
        <f t="shared" si="2"/>
        <v>1212</v>
      </c>
      <c r="M29" s="1">
        <f t="shared" si="2"/>
        <v>1620</v>
      </c>
      <c r="N29" t="str">
        <f t="shared" si="0"/>
        <v>AUVERGNE-RHÔNE-ALPES|38 - Isère|CA Vienne Condrieu</v>
      </c>
      <c r="O29" s="1" t="str">
        <f t="shared" si="1"/>
        <v>Province</v>
      </c>
    </row>
    <row r="30" spans="1:15" x14ac:dyDescent="0.25">
      <c r="A30" s="1" t="s">
        <v>15</v>
      </c>
      <c r="B30" t="s">
        <v>74</v>
      </c>
      <c r="C30" t="s">
        <v>75</v>
      </c>
      <c r="D30" t="s">
        <v>82</v>
      </c>
      <c r="E30" t="s">
        <v>83</v>
      </c>
      <c r="F30" t="s">
        <v>20</v>
      </c>
      <c r="G30" t="s">
        <v>21</v>
      </c>
      <c r="H30" s="1">
        <v>9866</v>
      </c>
      <c r="I30" s="1">
        <v>13788</v>
      </c>
      <c r="J30" s="1">
        <v>18435</v>
      </c>
      <c r="K30" s="1">
        <f t="shared" si="2"/>
        <v>822.16666666666663</v>
      </c>
      <c r="L30" s="1">
        <f t="shared" si="2"/>
        <v>1149</v>
      </c>
      <c r="M30" s="1">
        <f t="shared" si="2"/>
        <v>1536.25</v>
      </c>
      <c r="N30" t="str">
        <f t="shared" si="0"/>
        <v>AUVERGNE-RHÔNE-ALPES|38 - Isère|CC Entre Bièvre et Rhône</v>
      </c>
      <c r="O30" s="1" t="str">
        <f t="shared" si="1"/>
        <v>Province</v>
      </c>
    </row>
    <row r="31" spans="1:15" x14ac:dyDescent="0.25">
      <c r="A31" s="1" t="s">
        <v>15</v>
      </c>
      <c r="B31" t="s">
        <v>74</v>
      </c>
      <c r="C31" t="s">
        <v>75</v>
      </c>
      <c r="D31" t="s">
        <v>84</v>
      </c>
      <c r="E31" t="s">
        <v>85</v>
      </c>
      <c r="F31" t="s">
        <v>20</v>
      </c>
      <c r="G31" t="s">
        <v>21</v>
      </c>
      <c r="H31" s="1">
        <v>10716</v>
      </c>
      <c r="I31" s="1">
        <v>14700</v>
      </c>
      <c r="J31" s="1">
        <v>19860</v>
      </c>
      <c r="K31" s="1">
        <f t="shared" si="2"/>
        <v>893</v>
      </c>
      <c r="L31" s="1">
        <f t="shared" si="2"/>
        <v>1225</v>
      </c>
      <c r="M31" s="1">
        <f t="shared" si="2"/>
        <v>1655</v>
      </c>
      <c r="N31" t="str">
        <f t="shared" si="0"/>
        <v>AUVERGNE-RHÔNE-ALPES|38 - Isère|Grenoble-Alpes-Métropole</v>
      </c>
      <c r="O31" s="1" t="str">
        <f t="shared" si="1"/>
        <v>Province</v>
      </c>
    </row>
    <row r="32" spans="1:15" x14ac:dyDescent="0.25">
      <c r="A32" s="1" t="s">
        <v>15</v>
      </c>
      <c r="B32" t="s">
        <v>86</v>
      </c>
      <c r="C32" t="s">
        <v>87</v>
      </c>
      <c r="D32" t="s">
        <v>88</v>
      </c>
      <c r="E32" t="s">
        <v>89</v>
      </c>
      <c r="F32" t="s">
        <v>20</v>
      </c>
      <c r="G32" t="s">
        <v>21</v>
      </c>
      <c r="H32" s="1">
        <v>8690</v>
      </c>
      <c r="I32" s="1">
        <v>12912</v>
      </c>
      <c r="J32" s="1">
        <v>17898</v>
      </c>
      <c r="K32" s="1">
        <f t="shared" si="2"/>
        <v>724.16666666666663</v>
      </c>
      <c r="L32" s="1">
        <f t="shared" si="2"/>
        <v>1076</v>
      </c>
      <c r="M32" s="1">
        <f t="shared" si="2"/>
        <v>1491.5</v>
      </c>
      <c r="N32" t="str">
        <f t="shared" si="0"/>
        <v>AUVERGNE-RHÔNE-ALPES|42 - Loire|CA Roannais Agglomération</v>
      </c>
      <c r="O32" s="1" t="str">
        <f t="shared" si="1"/>
        <v>Province</v>
      </c>
    </row>
    <row r="33" spans="1:15" x14ac:dyDescent="0.25">
      <c r="A33" s="1" t="s">
        <v>15</v>
      </c>
      <c r="B33" t="s">
        <v>86</v>
      </c>
      <c r="C33" t="s">
        <v>87</v>
      </c>
      <c r="D33" t="s">
        <v>90</v>
      </c>
      <c r="E33" t="s">
        <v>91</v>
      </c>
      <c r="F33" t="s">
        <v>20</v>
      </c>
      <c r="G33" t="s">
        <v>21</v>
      </c>
      <c r="H33" s="1">
        <v>11069</v>
      </c>
      <c r="I33" s="1">
        <v>14400</v>
      </c>
      <c r="J33" s="1">
        <v>19200</v>
      </c>
      <c r="K33" s="1">
        <f t="shared" si="2"/>
        <v>922.41666666666663</v>
      </c>
      <c r="L33" s="1">
        <f t="shared" si="2"/>
        <v>1200</v>
      </c>
      <c r="M33" s="1">
        <f t="shared" si="2"/>
        <v>1600</v>
      </c>
      <c r="N33" t="str">
        <f t="shared" si="0"/>
        <v>AUVERGNE-RHÔNE-ALPES|42 - Loire|Loire Forez Agglomération (LFA)</v>
      </c>
      <c r="O33" s="1" t="str">
        <f t="shared" si="1"/>
        <v>Province</v>
      </c>
    </row>
    <row r="34" spans="1:15" x14ac:dyDescent="0.25">
      <c r="A34" s="1" t="s">
        <v>15</v>
      </c>
      <c r="B34" t="s">
        <v>86</v>
      </c>
      <c r="C34" t="s">
        <v>87</v>
      </c>
      <c r="D34" t="s">
        <v>92</v>
      </c>
      <c r="E34" t="s">
        <v>93</v>
      </c>
      <c r="F34" t="s">
        <v>20</v>
      </c>
      <c r="G34" t="s">
        <v>21</v>
      </c>
      <c r="H34" s="1">
        <v>8400</v>
      </c>
      <c r="I34" s="1">
        <v>12372</v>
      </c>
      <c r="J34" s="1">
        <v>17409</v>
      </c>
      <c r="K34" s="1">
        <f t="shared" si="2"/>
        <v>700</v>
      </c>
      <c r="L34" s="1">
        <f t="shared" si="2"/>
        <v>1031</v>
      </c>
      <c r="M34" s="1">
        <f t="shared" si="2"/>
        <v>1450.75</v>
      </c>
      <c r="N34" t="str">
        <f t="shared" si="0"/>
        <v>AUVERGNE-RHÔNE-ALPES|42 - Loire|Saint-Étienne Métropole</v>
      </c>
      <c r="O34" s="1" t="str">
        <f t="shared" si="1"/>
        <v>Province</v>
      </c>
    </row>
    <row r="35" spans="1:15" x14ac:dyDescent="0.25">
      <c r="A35" s="1" t="s">
        <v>15</v>
      </c>
      <c r="B35" t="s">
        <v>94</v>
      </c>
      <c r="C35" t="s">
        <v>95</v>
      </c>
      <c r="D35" t="s">
        <v>96</v>
      </c>
      <c r="E35" t="s">
        <v>97</v>
      </c>
      <c r="F35" t="s">
        <v>20</v>
      </c>
      <c r="G35" t="s">
        <v>21</v>
      </c>
      <c r="H35" s="1">
        <v>9576</v>
      </c>
      <c r="I35" s="1">
        <v>12900</v>
      </c>
      <c r="J35" s="1">
        <v>17640</v>
      </c>
      <c r="K35" s="1">
        <f t="shared" si="2"/>
        <v>798</v>
      </c>
      <c r="L35" s="1">
        <f t="shared" si="2"/>
        <v>1075</v>
      </c>
      <c r="M35" s="1">
        <f t="shared" si="2"/>
        <v>1470</v>
      </c>
      <c r="N35" t="str">
        <f t="shared" si="0"/>
        <v>AUVERGNE-RHÔNE-ALPES|43 - Haute-Loire|CA du Puy-en-Velay</v>
      </c>
      <c r="O35" s="1" t="str">
        <f t="shared" si="1"/>
        <v>Province</v>
      </c>
    </row>
    <row r="36" spans="1:15" x14ac:dyDescent="0.25">
      <c r="A36" s="1" t="s">
        <v>15</v>
      </c>
      <c r="B36" t="s">
        <v>98</v>
      </c>
      <c r="C36" t="s">
        <v>99</v>
      </c>
      <c r="D36" t="s">
        <v>100</v>
      </c>
      <c r="E36" t="s">
        <v>101</v>
      </c>
      <c r="F36" t="s">
        <v>20</v>
      </c>
      <c r="G36" t="s">
        <v>21</v>
      </c>
      <c r="H36" s="1">
        <v>10800</v>
      </c>
      <c r="I36" s="1">
        <v>14400</v>
      </c>
      <c r="J36" s="1">
        <v>19008</v>
      </c>
      <c r="K36" s="1">
        <f t="shared" si="2"/>
        <v>900</v>
      </c>
      <c r="L36" s="1">
        <f t="shared" si="2"/>
        <v>1200</v>
      </c>
      <c r="M36" s="1">
        <f t="shared" si="2"/>
        <v>1584</v>
      </c>
      <c r="N36" t="str">
        <f t="shared" si="0"/>
        <v>AUVERGNE-RHÔNE-ALPES|63 - Puy-de-Dôme|CA Agglo Pays d'Issoire</v>
      </c>
      <c r="O36" s="1" t="str">
        <f t="shared" si="1"/>
        <v>Province</v>
      </c>
    </row>
    <row r="37" spans="1:15" x14ac:dyDescent="0.25">
      <c r="A37" s="1" t="s">
        <v>15</v>
      </c>
      <c r="B37" t="s">
        <v>98</v>
      </c>
      <c r="C37" t="s">
        <v>99</v>
      </c>
      <c r="D37" t="s">
        <v>102</v>
      </c>
      <c r="E37" t="s">
        <v>103</v>
      </c>
      <c r="F37" t="s">
        <v>20</v>
      </c>
      <c r="G37" t="s">
        <v>21</v>
      </c>
      <c r="H37" s="1">
        <v>11220</v>
      </c>
      <c r="I37" s="1">
        <v>14904</v>
      </c>
      <c r="J37" s="1">
        <v>19440</v>
      </c>
      <c r="K37" s="1">
        <f t="shared" si="2"/>
        <v>935</v>
      </c>
      <c r="L37" s="1">
        <f t="shared" si="2"/>
        <v>1242</v>
      </c>
      <c r="M37" s="1">
        <f t="shared" si="2"/>
        <v>1620</v>
      </c>
      <c r="N37" t="str">
        <f t="shared" si="0"/>
        <v>AUVERGNE-RHÔNE-ALPES|63 - Puy-de-Dôme|CA Riom Limagne et Volcans</v>
      </c>
      <c r="O37" s="1" t="str">
        <f t="shared" si="1"/>
        <v>Province</v>
      </c>
    </row>
    <row r="38" spans="1:15" x14ac:dyDescent="0.25">
      <c r="A38" s="1" t="s">
        <v>15</v>
      </c>
      <c r="B38" t="s">
        <v>98</v>
      </c>
      <c r="C38" t="s">
        <v>99</v>
      </c>
      <c r="D38" t="s">
        <v>104</v>
      </c>
      <c r="E38" t="s">
        <v>105</v>
      </c>
      <c r="F38" t="s">
        <v>20</v>
      </c>
      <c r="G38" t="s">
        <v>21</v>
      </c>
      <c r="H38" s="1">
        <v>8957</v>
      </c>
      <c r="I38" s="1">
        <v>12372</v>
      </c>
      <c r="J38" s="1">
        <v>16524</v>
      </c>
      <c r="K38" s="1">
        <f t="shared" si="2"/>
        <v>746.41666666666663</v>
      </c>
      <c r="L38" s="1">
        <f t="shared" si="2"/>
        <v>1031</v>
      </c>
      <c r="M38" s="1">
        <f t="shared" si="2"/>
        <v>1377</v>
      </c>
      <c r="N38" t="str">
        <f t="shared" si="0"/>
        <v>AUVERGNE-RHÔNE-ALPES|63 - Puy-de-Dôme|CC Thiers Dore et Montagne</v>
      </c>
      <c r="O38" s="1" t="str">
        <f t="shared" si="1"/>
        <v>Province</v>
      </c>
    </row>
    <row r="39" spans="1:15" x14ac:dyDescent="0.25">
      <c r="A39" s="1" t="s">
        <v>15</v>
      </c>
      <c r="B39" t="s">
        <v>98</v>
      </c>
      <c r="C39" t="s">
        <v>99</v>
      </c>
      <c r="D39" t="s">
        <v>106</v>
      </c>
      <c r="E39" t="s">
        <v>107</v>
      </c>
      <c r="F39" t="s">
        <v>20</v>
      </c>
      <c r="G39" t="s">
        <v>21</v>
      </c>
      <c r="H39" s="1">
        <v>10141</v>
      </c>
      <c r="I39" s="1">
        <v>14400</v>
      </c>
      <c r="J39" s="1">
        <v>19440</v>
      </c>
      <c r="K39" s="1">
        <f t="shared" si="2"/>
        <v>845.08333333333337</v>
      </c>
      <c r="L39" s="1">
        <f t="shared" si="2"/>
        <v>1200</v>
      </c>
      <c r="M39" s="1">
        <f t="shared" si="2"/>
        <v>1620</v>
      </c>
      <c r="N39" t="str">
        <f t="shared" si="0"/>
        <v>AUVERGNE-RHÔNE-ALPES|63 - Puy-de-Dôme|Clermont Auvergne Métropole</v>
      </c>
      <c r="O39" s="1" t="str">
        <f t="shared" si="1"/>
        <v>Province</v>
      </c>
    </row>
    <row r="40" spans="1:15" x14ac:dyDescent="0.25">
      <c r="A40" s="1" t="s">
        <v>15</v>
      </c>
      <c r="B40" t="s">
        <v>108</v>
      </c>
      <c r="C40" t="s">
        <v>109</v>
      </c>
      <c r="D40" t="s">
        <v>110</v>
      </c>
      <c r="E40" t="s">
        <v>111</v>
      </c>
      <c r="F40" t="s">
        <v>20</v>
      </c>
      <c r="G40" t="s">
        <v>21</v>
      </c>
      <c r="H40" s="1">
        <v>9476</v>
      </c>
      <c r="I40" s="1">
        <v>13656</v>
      </c>
      <c r="J40" s="1">
        <v>19057</v>
      </c>
      <c r="K40" s="1">
        <f t="shared" si="2"/>
        <v>789.66666666666663</v>
      </c>
      <c r="L40" s="1">
        <f t="shared" si="2"/>
        <v>1138</v>
      </c>
      <c r="M40" s="1">
        <f t="shared" si="2"/>
        <v>1588.0833333333333</v>
      </c>
      <c r="N40" t="str">
        <f t="shared" si="0"/>
        <v>AUVERGNE-RHÔNE-ALPES|69 - Rhône|CA de l'Ouest Rhodanien</v>
      </c>
      <c r="O40" s="1" t="str">
        <f t="shared" si="1"/>
        <v>Province</v>
      </c>
    </row>
    <row r="41" spans="1:15" x14ac:dyDescent="0.25">
      <c r="A41" s="1" t="s">
        <v>15</v>
      </c>
      <c r="B41" t="s">
        <v>108</v>
      </c>
      <c r="C41" t="s">
        <v>109</v>
      </c>
      <c r="D41" t="s">
        <v>80</v>
      </c>
      <c r="E41" t="s">
        <v>81</v>
      </c>
      <c r="F41" t="s">
        <v>20</v>
      </c>
      <c r="G41" t="s">
        <v>21</v>
      </c>
      <c r="H41" s="1">
        <v>10672</v>
      </c>
      <c r="I41" s="1">
        <v>14544</v>
      </c>
      <c r="J41" s="1">
        <v>19440</v>
      </c>
      <c r="K41" s="1">
        <f t="shared" si="2"/>
        <v>889.33333333333337</v>
      </c>
      <c r="L41" s="1">
        <f t="shared" si="2"/>
        <v>1212</v>
      </c>
      <c r="M41" s="1">
        <f t="shared" si="2"/>
        <v>1620</v>
      </c>
      <c r="N41" t="str">
        <f t="shared" si="0"/>
        <v>AUVERGNE-RHÔNE-ALPES|69 - Rhône|CA Vienne Condrieu</v>
      </c>
      <c r="O41" s="1" t="str">
        <f t="shared" si="1"/>
        <v>Province</v>
      </c>
    </row>
    <row r="42" spans="1:15" x14ac:dyDescent="0.25">
      <c r="A42" s="1" t="s">
        <v>15</v>
      </c>
      <c r="B42" t="s">
        <v>108</v>
      </c>
      <c r="C42" t="s">
        <v>109</v>
      </c>
      <c r="D42" t="s">
        <v>28</v>
      </c>
      <c r="E42" t="s">
        <v>29</v>
      </c>
      <c r="F42" t="s">
        <v>20</v>
      </c>
      <c r="G42" t="s">
        <v>21</v>
      </c>
      <c r="H42" s="1">
        <v>10200</v>
      </c>
      <c r="I42" s="1">
        <v>14400</v>
      </c>
      <c r="J42" s="1">
        <v>19500</v>
      </c>
      <c r="K42" s="1">
        <f t="shared" si="2"/>
        <v>850</v>
      </c>
      <c r="L42" s="1">
        <f t="shared" si="2"/>
        <v>1200</v>
      </c>
      <c r="M42" s="1">
        <f t="shared" si="2"/>
        <v>1625</v>
      </c>
      <c r="N42" t="str">
        <f t="shared" si="0"/>
        <v>AUVERGNE-RHÔNE-ALPES|69 - Rhône|CA Villefranche Beaujolais Saône</v>
      </c>
      <c r="O42" s="1" t="str">
        <f t="shared" si="1"/>
        <v>Province</v>
      </c>
    </row>
    <row r="43" spans="1:15" x14ac:dyDescent="0.25">
      <c r="A43" s="1" t="s">
        <v>15</v>
      </c>
      <c r="B43" t="s">
        <v>108</v>
      </c>
      <c r="C43" t="s">
        <v>109</v>
      </c>
      <c r="D43" t="s">
        <v>112</v>
      </c>
      <c r="E43" t="s">
        <v>113</v>
      </c>
      <c r="F43" t="s">
        <v>20</v>
      </c>
      <c r="G43" t="s">
        <v>21</v>
      </c>
      <c r="H43" s="1">
        <v>12192</v>
      </c>
      <c r="I43" s="1">
        <v>16800</v>
      </c>
      <c r="J43" s="1">
        <v>22168</v>
      </c>
      <c r="K43" s="1">
        <f t="shared" si="2"/>
        <v>1016</v>
      </c>
      <c r="L43" s="1">
        <f t="shared" si="2"/>
        <v>1400</v>
      </c>
      <c r="M43" s="1">
        <f t="shared" si="2"/>
        <v>1847.3333333333333</v>
      </c>
      <c r="N43" t="str">
        <f t="shared" si="0"/>
        <v>AUVERGNE-RHÔNE-ALPES|69 - Rhône|CC de la Vallée du Garon (CCVG)</v>
      </c>
      <c r="O43" s="1" t="str">
        <f t="shared" si="1"/>
        <v>Province</v>
      </c>
    </row>
    <row r="44" spans="1:15" x14ac:dyDescent="0.25">
      <c r="A44" s="1" t="s">
        <v>15</v>
      </c>
      <c r="B44" t="s">
        <v>108</v>
      </c>
      <c r="C44" t="s">
        <v>109</v>
      </c>
      <c r="D44" t="s">
        <v>114</v>
      </c>
      <c r="E44" t="s">
        <v>115</v>
      </c>
      <c r="F44" t="s">
        <v>20</v>
      </c>
      <c r="G44" t="s">
        <v>21</v>
      </c>
      <c r="H44" s="1">
        <v>12645</v>
      </c>
      <c r="I44" s="1">
        <v>17464</v>
      </c>
      <c r="J44" s="1">
        <v>22387</v>
      </c>
      <c r="K44" s="1">
        <f t="shared" si="2"/>
        <v>1053.75</v>
      </c>
      <c r="L44" s="1">
        <f t="shared" si="2"/>
        <v>1455.3333333333333</v>
      </c>
      <c r="M44" s="1">
        <f t="shared" si="2"/>
        <v>1865.5833333333333</v>
      </c>
      <c r="N44" t="str">
        <f t="shared" si="0"/>
        <v>AUVERGNE-RHÔNE-ALPES|69 - Rhône|CC de l'Est Lyonnais (CCEL)</v>
      </c>
      <c r="O44" s="1" t="str">
        <f t="shared" si="1"/>
        <v>Province</v>
      </c>
    </row>
    <row r="45" spans="1:15" x14ac:dyDescent="0.25">
      <c r="A45" s="1" t="s">
        <v>15</v>
      </c>
      <c r="B45" t="s">
        <v>108</v>
      </c>
      <c r="C45" t="s">
        <v>109</v>
      </c>
      <c r="D45" t="s">
        <v>116</v>
      </c>
      <c r="E45" t="s">
        <v>117</v>
      </c>
      <c r="F45" t="s">
        <v>20</v>
      </c>
      <c r="G45" t="s">
        <v>21</v>
      </c>
      <c r="H45" s="1">
        <v>10517</v>
      </c>
      <c r="I45" s="1">
        <v>14312</v>
      </c>
      <c r="J45" s="1">
        <v>19320</v>
      </c>
      <c r="K45" s="1">
        <f t="shared" si="2"/>
        <v>876.41666666666663</v>
      </c>
      <c r="L45" s="1">
        <f t="shared" si="2"/>
        <v>1192.6666666666667</v>
      </c>
      <c r="M45" s="1">
        <f t="shared" si="2"/>
        <v>1610</v>
      </c>
      <c r="N45" t="str">
        <f t="shared" si="0"/>
        <v>AUVERGNE-RHÔNE-ALPES|69 - Rhône|CC Saône-Beaujolais</v>
      </c>
      <c r="O45" s="1" t="str">
        <f t="shared" si="1"/>
        <v>Province</v>
      </c>
    </row>
    <row r="46" spans="1:15" x14ac:dyDescent="0.25">
      <c r="A46" s="1" t="s">
        <v>15</v>
      </c>
      <c r="B46" t="s">
        <v>108</v>
      </c>
      <c r="C46" t="s">
        <v>109</v>
      </c>
      <c r="D46" t="s">
        <v>118</v>
      </c>
      <c r="E46" t="s">
        <v>119</v>
      </c>
      <c r="F46" t="s">
        <v>20</v>
      </c>
      <c r="G46" t="s">
        <v>21</v>
      </c>
      <c r="H46" s="1">
        <v>10740</v>
      </c>
      <c r="I46" s="1">
        <v>15472</v>
      </c>
      <c r="J46" s="1">
        <v>20832</v>
      </c>
      <c r="K46" s="1">
        <f t="shared" si="2"/>
        <v>895</v>
      </c>
      <c r="L46" s="1">
        <f t="shared" si="2"/>
        <v>1289.3333333333333</v>
      </c>
      <c r="M46" s="1">
        <f t="shared" si="2"/>
        <v>1736</v>
      </c>
      <c r="N46" t="str">
        <f t="shared" si="0"/>
        <v>AUVERGNE-RHÔNE-ALPES|69 - Rhône|Métropole de Lyon</v>
      </c>
      <c r="O46" s="1" t="str">
        <f t="shared" si="1"/>
        <v>Province</v>
      </c>
    </row>
    <row r="47" spans="1:15" x14ac:dyDescent="0.25">
      <c r="A47" s="1" t="s">
        <v>15</v>
      </c>
      <c r="B47" t="s">
        <v>120</v>
      </c>
      <c r="C47" t="s">
        <v>121</v>
      </c>
      <c r="D47" t="s">
        <v>122</v>
      </c>
      <c r="E47" t="s">
        <v>123</v>
      </c>
      <c r="F47" t="s">
        <v>20</v>
      </c>
      <c r="G47" t="s">
        <v>21</v>
      </c>
      <c r="H47" s="1">
        <v>11344</v>
      </c>
      <c r="I47" s="1">
        <v>15636</v>
      </c>
      <c r="J47" s="1">
        <v>20233</v>
      </c>
      <c r="K47" s="1">
        <f t="shared" si="2"/>
        <v>945.33333333333337</v>
      </c>
      <c r="L47" s="1">
        <f t="shared" si="2"/>
        <v>1303</v>
      </c>
      <c r="M47" s="1">
        <f t="shared" si="2"/>
        <v>1686.0833333333333</v>
      </c>
      <c r="N47" t="str">
        <f t="shared" si="0"/>
        <v>AUVERGNE-RHÔNE-ALPES|73 - Savoie|CA Arlysère</v>
      </c>
      <c r="O47" s="1" t="str">
        <f t="shared" si="1"/>
        <v>Province</v>
      </c>
    </row>
    <row r="48" spans="1:15" x14ac:dyDescent="0.25">
      <c r="A48" s="1" t="s">
        <v>15</v>
      </c>
      <c r="B48" t="s">
        <v>120</v>
      </c>
      <c r="C48" t="s">
        <v>121</v>
      </c>
      <c r="D48" t="s">
        <v>124</v>
      </c>
      <c r="E48" t="s">
        <v>125</v>
      </c>
      <c r="F48" t="s">
        <v>20</v>
      </c>
      <c r="G48" t="s">
        <v>21</v>
      </c>
      <c r="H48" s="1">
        <v>11228</v>
      </c>
      <c r="I48" s="1">
        <v>15600</v>
      </c>
      <c r="J48" s="1">
        <v>20482</v>
      </c>
      <c r="K48" s="1">
        <f t="shared" si="2"/>
        <v>935.66666666666663</v>
      </c>
      <c r="L48" s="1">
        <f t="shared" si="2"/>
        <v>1300</v>
      </c>
      <c r="M48" s="1">
        <f t="shared" si="2"/>
        <v>1706.8333333333333</v>
      </c>
      <c r="N48" t="str">
        <f t="shared" si="0"/>
        <v>AUVERGNE-RHÔNE-ALPES|73 - Savoie|CA du Grand Chambéry</v>
      </c>
      <c r="O48" s="1" t="str">
        <f t="shared" si="1"/>
        <v>Province</v>
      </c>
    </row>
    <row r="49" spans="1:15" x14ac:dyDescent="0.25">
      <c r="A49" s="1" t="s">
        <v>15</v>
      </c>
      <c r="B49" t="s">
        <v>120</v>
      </c>
      <c r="C49" t="s">
        <v>121</v>
      </c>
      <c r="D49" t="s">
        <v>126</v>
      </c>
      <c r="E49" t="s">
        <v>127</v>
      </c>
      <c r="F49" t="s">
        <v>20</v>
      </c>
      <c r="G49" t="s">
        <v>21</v>
      </c>
      <c r="H49" s="1">
        <v>11748</v>
      </c>
      <c r="I49" s="1">
        <v>16347</v>
      </c>
      <c r="J49" s="1">
        <v>21014</v>
      </c>
      <c r="K49" s="1">
        <f t="shared" si="2"/>
        <v>979</v>
      </c>
      <c r="L49" s="1">
        <f t="shared" si="2"/>
        <v>1362.25</v>
      </c>
      <c r="M49" s="1">
        <f t="shared" si="2"/>
        <v>1751.1666666666667</v>
      </c>
      <c r="N49" t="str">
        <f t="shared" si="0"/>
        <v>AUVERGNE-RHÔNE-ALPES|73 - Savoie|CA Grand Lac</v>
      </c>
      <c r="O49" s="1" t="str">
        <f t="shared" si="1"/>
        <v>Province</v>
      </c>
    </row>
    <row r="50" spans="1:15" x14ac:dyDescent="0.25">
      <c r="A50" s="1" t="s">
        <v>15</v>
      </c>
      <c r="B50" t="s">
        <v>128</v>
      </c>
      <c r="C50" t="s">
        <v>129</v>
      </c>
      <c r="D50" t="s">
        <v>130</v>
      </c>
      <c r="E50" t="s">
        <v>131</v>
      </c>
      <c r="F50" t="s">
        <v>20</v>
      </c>
      <c r="G50" t="s">
        <v>21</v>
      </c>
      <c r="H50" s="1">
        <v>10535</v>
      </c>
      <c r="I50" s="1">
        <v>15655</v>
      </c>
      <c r="J50" s="1">
        <v>21613</v>
      </c>
      <c r="K50" s="1">
        <f t="shared" si="2"/>
        <v>877.91666666666663</v>
      </c>
      <c r="L50" s="1">
        <f t="shared" si="2"/>
        <v>1304.5833333333333</v>
      </c>
      <c r="M50" s="1">
        <f t="shared" si="2"/>
        <v>1801.0833333333333</v>
      </c>
      <c r="N50" t="str">
        <f t="shared" si="0"/>
        <v>AUVERGNE-RHÔNE-ALPES|74 - Haute-Savoie|CA Annemasse-Les Voirons-Agglomération</v>
      </c>
      <c r="O50" s="1" t="str">
        <f t="shared" si="1"/>
        <v>Province</v>
      </c>
    </row>
    <row r="51" spans="1:15" x14ac:dyDescent="0.25">
      <c r="A51" s="1" t="s">
        <v>15</v>
      </c>
      <c r="B51" t="s">
        <v>128</v>
      </c>
      <c r="C51" t="s">
        <v>129</v>
      </c>
      <c r="D51" t="s">
        <v>132</v>
      </c>
      <c r="E51" t="s">
        <v>133</v>
      </c>
      <c r="F51" t="s">
        <v>20</v>
      </c>
      <c r="G51" t="s">
        <v>21</v>
      </c>
      <c r="H51" s="1">
        <v>12192</v>
      </c>
      <c r="I51" s="1">
        <v>17232</v>
      </c>
      <c r="J51" s="1">
        <v>22104</v>
      </c>
      <c r="K51" s="1">
        <f t="shared" si="2"/>
        <v>1016</v>
      </c>
      <c r="L51" s="1">
        <f t="shared" si="2"/>
        <v>1436</v>
      </c>
      <c r="M51" s="1">
        <f t="shared" si="2"/>
        <v>1842</v>
      </c>
      <c r="N51" t="str">
        <f t="shared" si="0"/>
        <v>AUVERGNE-RHÔNE-ALPES|74 - Haute-Savoie|CA du Grand Annecy</v>
      </c>
      <c r="O51" s="1" t="str">
        <f t="shared" si="1"/>
        <v>Province</v>
      </c>
    </row>
    <row r="52" spans="1:15" x14ac:dyDescent="0.25">
      <c r="A52" s="1" t="s">
        <v>15</v>
      </c>
      <c r="B52" t="s">
        <v>128</v>
      </c>
      <c r="C52" t="s">
        <v>129</v>
      </c>
      <c r="D52" t="s">
        <v>134</v>
      </c>
      <c r="E52" t="s">
        <v>135</v>
      </c>
      <c r="F52" t="s">
        <v>20</v>
      </c>
      <c r="G52" t="s">
        <v>21</v>
      </c>
      <c r="H52" s="1">
        <v>11910</v>
      </c>
      <c r="I52" s="1">
        <v>16800</v>
      </c>
      <c r="J52" s="1">
        <v>21834</v>
      </c>
      <c r="K52" s="1">
        <f t="shared" si="2"/>
        <v>992.5</v>
      </c>
      <c r="L52" s="1">
        <f t="shared" si="2"/>
        <v>1400</v>
      </c>
      <c r="M52" s="1">
        <f t="shared" si="2"/>
        <v>1819.5</v>
      </c>
      <c r="N52" t="str">
        <f t="shared" si="0"/>
        <v>AUVERGNE-RHÔNE-ALPES|74 - Haute-Savoie|CA Thonon Agglomération</v>
      </c>
      <c r="O52" s="1" t="str">
        <f t="shared" si="1"/>
        <v>Province</v>
      </c>
    </row>
    <row r="53" spans="1:15" x14ac:dyDescent="0.25">
      <c r="A53" s="1" t="s">
        <v>15</v>
      </c>
      <c r="B53" t="s">
        <v>128</v>
      </c>
      <c r="C53" t="s">
        <v>129</v>
      </c>
      <c r="D53" t="s">
        <v>136</v>
      </c>
      <c r="E53" t="s">
        <v>137</v>
      </c>
      <c r="F53" t="s">
        <v>20</v>
      </c>
      <c r="G53" t="s">
        <v>21</v>
      </c>
      <c r="H53" s="1">
        <v>11714</v>
      </c>
      <c r="I53" s="1">
        <v>16160</v>
      </c>
      <c r="J53" s="1">
        <v>20567</v>
      </c>
      <c r="K53" s="1">
        <f t="shared" si="2"/>
        <v>976.16666666666663</v>
      </c>
      <c r="L53" s="1">
        <f t="shared" si="2"/>
        <v>1346.6666666666667</v>
      </c>
      <c r="M53" s="1">
        <f t="shared" si="2"/>
        <v>1713.9166666666667</v>
      </c>
      <c r="N53" t="str">
        <f t="shared" si="0"/>
        <v>AUVERGNE-RHÔNE-ALPES|74 - Haute-Savoie|CC Cluses-Arve et Montagnes</v>
      </c>
      <c r="O53" s="1" t="str">
        <f t="shared" si="1"/>
        <v>Province</v>
      </c>
    </row>
    <row r="54" spans="1:15" x14ac:dyDescent="0.25">
      <c r="A54" s="1" t="s">
        <v>15</v>
      </c>
      <c r="B54" t="s">
        <v>128</v>
      </c>
      <c r="C54" t="s">
        <v>129</v>
      </c>
      <c r="D54" t="s">
        <v>138</v>
      </c>
      <c r="E54" t="s">
        <v>139</v>
      </c>
      <c r="F54" t="s">
        <v>20</v>
      </c>
      <c r="G54" t="s">
        <v>21</v>
      </c>
      <c r="H54" s="1">
        <v>12072</v>
      </c>
      <c r="I54" s="1">
        <v>17760</v>
      </c>
      <c r="J54" s="1">
        <v>23854</v>
      </c>
      <c r="K54" s="1">
        <f t="shared" si="2"/>
        <v>1006</v>
      </c>
      <c r="L54" s="1">
        <f t="shared" si="2"/>
        <v>1480</v>
      </c>
      <c r="M54" s="1">
        <f t="shared" si="2"/>
        <v>1987.8333333333333</v>
      </c>
      <c r="N54" t="str">
        <f t="shared" si="0"/>
        <v>AUVERGNE-RHÔNE-ALPES|74 - Haute-Savoie|CC du Genevois</v>
      </c>
      <c r="O54" s="1" t="str">
        <f t="shared" si="1"/>
        <v>Province</v>
      </c>
    </row>
    <row r="55" spans="1:15" x14ac:dyDescent="0.25">
      <c r="A55" s="1" t="s">
        <v>15</v>
      </c>
      <c r="B55" t="s">
        <v>128</v>
      </c>
      <c r="C55" t="s">
        <v>129</v>
      </c>
      <c r="D55" t="s">
        <v>140</v>
      </c>
      <c r="E55" t="s">
        <v>141</v>
      </c>
      <c r="F55" t="s">
        <v>20</v>
      </c>
      <c r="G55" t="s">
        <v>21</v>
      </c>
      <c r="H55" s="1">
        <v>12276</v>
      </c>
      <c r="I55" s="1">
        <v>17606</v>
      </c>
      <c r="J55" s="1">
        <v>22728</v>
      </c>
      <c r="K55" s="1">
        <f t="shared" si="2"/>
        <v>1023</v>
      </c>
      <c r="L55" s="1">
        <f t="shared" si="2"/>
        <v>1467.1666666666667</v>
      </c>
      <c r="M55" s="1">
        <f t="shared" si="2"/>
        <v>1894</v>
      </c>
      <c r="N55" t="str">
        <f t="shared" si="0"/>
        <v>AUVERGNE-RHÔNE-ALPES|74 - Haute-Savoie|CC Faucigny - Glières</v>
      </c>
      <c r="O55" s="1" t="str">
        <f t="shared" si="1"/>
        <v>Province</v>
      </c>
    </row>
    <row r="56" spans="1:15" x14ac:dyDescent="0.25">
      <c r="A56" s="1" t="s">
        <v>15</v>
      </c>
      <c r="B56" t="s">
        <v>128</v>
      </c>
      <c r="C56" t="s">
        <v>129</v>
      </c>
      <c r="D56" t="s">
        <v>142</v>
      </c>
      <c r="E56" t="s">
        <v>143</v>
      </c>
      <c r="F56" t="s">
        <v>20</v>
      </c>
      <c r="G56" t="s">
        <v>21</v>
      </c>
      <c r="H56" s="1">
        <v>12279</v>
      </c>
      <c r="I56" s="1">
        <v>16951</v>
      </c>
      <c r="J56" s="1">
        <v>21600</v>
      </c>
      <c r="K56" s="1">
        <f t="shared" si="2"/>
        <v>1023.25</v>
      </c>
      <c r="L56" s="1">
        <f t="shared" si="2"/>
        <v>1412.5833333333333</v>
      </c>
      <c r="M56" s="1">
        <f t="shared" si="2"/>
        <v>1800</v>
      </c>
      <c r="N56" t="str">
        <f t="shared" si="0"/>
        <v>AUVERGNE-RHÔNE-ALPES|74 - Haute-Savoie|CC Pays du Mont-Blanc</v>
      </c>
      <c r="O56" s="1" t="str">
        <f t="shared" si="1"/>
        <v>Province</v>
      </c>
    </row>
    <row r="57" spans="1:15" x14ac:dyDescent="0.25">
      <c r="A57" s="1" t="s">
        <v>15</v>
      </c>
      <c r="B57" t="s">
        <v>128</v>
      </c>
      <c r="C57" t="s">
        <v>129</v>
      </c>
      <c r="D57" t="s">
        <v>144</v>
      </c>
      <c r="E57" t="s">
        <v>145</v>
      </c>
      <c r="F57" t="s">
        <v>20</v>
      </c>
      <c r="G57" t="s">
        <v>21</v>
      </c>
      <c r="H57" s="1">
        <v>12280</v>
      </c>
      <c r="I57" s="1">
        <v>16800</v>
      </c>
      <c r="J57" s="1">
        <v>21048</v>
      </c>
      <c r="K57" s="1">
        <f t="shared" si="2"/>
        <v>1023.3333333333334</v>
      </c>
      <c r="L57" s="1">
        <f t="shared" si="2"/>
        <v>1400</v>
      </c>
      <c r="M57" s="1">
        <f t="shared" si="2"/>
        <v>1754</v>
      </c>
      <c r="N57" t="str">
        <f t="shared" si="0"/>
        <v>AUVERGNE-RHÔNE-ALPES|74 - Haute-Savoie|CC Rumilly Terre de Savoie</v>
      </c>
      <c r="O57" s="1" t="str">
        <f t="shared" si="1"/>
        <v>Province</v>
      </c>
    </row>
    <row r="58" spans="1:15" x14ac:dyDescent="0.25">
      <c r="A58" s="1" t="s">
        <v>146</v>
      </c>
      <c r="B58" t="s">
        <v>147</v>
      </c>
      <c r="C58" t="s">
        <v>148</v>
      </c>
      <c r="D58" t="s">
        <v>149</v>
      </c>
      <c r="E58" t="s">
        <v>150</v>
      </c>
      <c r="F58" t="s">
        <v>20</v>
      </c>
      <c r="G58" t="s">
        <v>21</v>
      </c>
      <c r="H58" s="1">
        <v>11174</v>
      </c>
      <c r="I58" s="1">
        <v>15060</v>
      </c>
      <c r="J58" s="1">
        <v>19374</v>
      </c>
      <c r="K58" s="1">
        <f t="shared" si="2"/>
        <v>931.16666666666663</v>
      </c>
      <c r="L58" s="1">
        <f t="shared" si="2"/>
        <v>1255</v>
      </c>
      <c r="M58" s="1">
        <f t="shared" si="2"/>
        <v>1614.5</v>
      </c>
      <c r="N58" t="str">
        <f t="shared" si="0"/>
        <v>BOURGOGNE-FRANCHE-COMTÉ|21 - Côte-d'Or|CA Beaune, Côte et Sud - Communauté Beaune-Chagny-Nolay</v>
      </c>
      <c r="O58" s="1" t="str">
        <f t="shared" si="1"/>
        <v>Province</v>
      </c>
    </row>
    <row r="59" spans="1:15" x14ac:dyDescent="0.25">
      <c r="A59" s="1" t="s">
        <v>146</v>
      </c>
      <c r="B59" t="s">
        <v>147</v>
      </c>
      <c r="C59" t="s">
        <v>148</v>
      </c>
      <c r="D59" t="s">
        <v>151</v>
      </c>
      <c r="E59" t="s">
        <v>152</v>
      </c>
      <c r="F59" t="s">
        <v>20</v>
      </c>
      <c r="G59" t="s">
        <v>21</v>
      </c>
      <c r="H59" s="1">
        <v>9784</v>
      </c>
      <c r="I59" s="1">
        <v>14000</v>
      </c>
      <c r="J59" s="1">
        <v>19080</v>
      </c>
      <c r="K59" s="1">
        <f t="shared" si="2"/>
        <v>815.33333333333337</v>
      </c>
      <c r="L59" s="1">
        <f t="shared" si="2"/>
        <v>1166.6666666666667</v>
      </c>
      <c r="M59" s="1">
        <f t="shared" si="2"/>
        <v>1590</v>
      </c>
      <c r="N59" t="str">
        <f t="shared" si="0"/>
        <v>BOURGOGNE-FRANCHE-COMTÉ|21 - Côte-d'Or|Dijon Métropole</v>
      </c>
      <c r="O59" s="1" t="str">
        <f t="shared" si="1"/>
        <v>Province</v>
      </c>
    </row>
    <row r="60" spans="1:15" x14ac:dyDescent="0.25">
      <c r="A60" s="1" t="s">
        <v>146</v>
      </c>
      <c r="B60" t="s">
        <v>153</v>
      </c>
      <c r="C60" t="s">
        <v>154</v>
      </c>
      <c r="D60" t="s">
        <v>155</v>
      </c>
      <c r="E60" t="s">
        <v>156</v>
      </c>
      <c r="F60" t="s">
        <v>20</v>
      </c>
      <c r="G60" t="s">
        <v>21</v>
      </c>
      <c r="H60" s="1">
        <v>8885</v>
      </c>
      <c r="I60" s="1">
        <v>12800</v>
      </c>
      <c r="J60" s="1">
        <v>18000</v>
      </c>
      <c r="K60" s="1">
        <f t="shared" si="2"/>
        <v>740.41666666666663</v>
      </c>
      <c r="L60" s="1">
        <f t="shared" si="2"/>
        <v>1066.6666666666667</v>
      </c>
      <c r="M60" s="1">
        <f t="shared" si="2"/>
        <v>1500</v>
      </c>
      <c r="N60" t="str">
        <f t="shared" si="0"/>
        <v>BOURGOGNE-FRANCHE-COMTÉ|25 - Doubs|CA Pays de Montbéliard Agglomération</v>
      </c>
      <c r="O60" s="1" t="str">
        <f t="shared" si="1"/>
        <v>Province</v>
      </c>
    </row>
    <row r="61" spans="1:15" x14ac:dyDescent="0.25">
      <c r="A61" s="1" t="s">
        <v>146</v>
      </c>
      <c r="B61" t="s">
        <v>153</v>
      </c>
      <c r="C61" t="s">
        <v>154</v>
      </c>
      <c r="D61" t="s">
        <v>157</v>
      </c>
      <c r="E61" t="s">
        <v>158</v>
      </c>
      <c r="F61" t="s">
        <v>20</v>
      </c>
      <c r="G61" t="s">
        <v>21</v>
      </c>
      <c r="H61" s="1">
        <v>10346</v>
      </c>
      <c r="I61" s="1">
        <v>13858</v>
      </c>
      <c r="J61" s="1">
        <v>18820</v>
      </c>
      <c r="K61" s="1">
        <f t="shared" si="2"/>
        <v>862.16666666666663</v>
      </c>
      <c r="L61" s="1">
        <f t="shared" si="2"/>
        <v>1154.8333333333333</v>
      </c>
      <c r="M61" s="1">
        <f t="shared" si="2"/>
        <v>1568.3333333333333</v>
      </c>
      <c r="N61" t="str">
        <f t="shared" si="0"/>
        <v>BOURGOGNE-FRANCHE-COMTÉ|25 - Doubs|CC du Grand Pontarlier</v>
      </c>
      <c r="O61" s="1" t="str">
        <f t="shared" si="1"/>
        <v>Province</v>
      </c>
    </row>
    <row r="62" spans="1:15" x14ac:dyDescent="0.25">
      <c r="A62" s="1" t="s">
        <v>146</v>
      </c>
      <c r="B62" t="s">
        <v>153</v>
      </c>
      <c r="C62" t="s">
        <v>154</v>
      </c>
      <c r="D62" t="s">
        <v>159</v>
      </c>
      <c r="E62" t="s">
        <v>160</v>
      </c>
      <c r="F62" t="s">
        <v>20</v>
      </c>
      <c r="G62" t="s">
        <v>21</v>
      </c>
      <c r="H62" s="1">
        <v>10029</v>
      </c>
      <c r="I62" s="1">
        <v>14438</v>
      </c>
      <c r="J62" s="1">
        <v>19560</v>
      </c>
      <c r="K62" s="1">
        <f t="shared" si="2"/>
        <v>835.75</v>
      </c>
      <c r="L62" s="1">
        <f t="shared" si="2"/>
        <v>1203.1666666666667</v>
      </c>
      <c r="M62" s="1">
        <f t="shared" si="2"/>
        <v>1630</v>
      </c>
      <c r="N62" t="str">
        <f t="shared" si="0"/>
        <v>BOURGOGNE-FRANCHE-COMTÉ|25 - Doubs|CC du Pays d'Héricourt</v>
      </c>
      <c r="O62" s="1" t="str">
        <f t="shared" si="1"/>
        <v>Province</v>
      </c>
    </row>
    <row r="63" spans="1:15" x14ac:dyDescent="0.25">
      <c r="A63" s="1" t="s">
        <v>146</v>
      </c>
      <c r="B63" t="s">
        <v>153</v>
      </c>
      <c r="C63" t="s">
        <v>154</v>
      </c>
      <c r="D63" t="s">
        <v>161</v>
      </c>
      <c r="E63" t="s">
        <v>162</v>
      </c>
      <c r="F63" t="s">
        <v>20</v>
      </c>
      <c r="G63" t="s">
        <v>21</v>
      </c>
      <c r="H63" s="1">
        <v>9292</v>
      </c>
      <c r="I63" s="1">
        <v>13153</v>
      </c>
      <c r="J63" s="1">
        <v>18309</v>
      </c>
      <c r="K63" s="1">
        <f t="shared" si="2"/>
        <v>774.33333333333337</v>
      </c>
      <c r="L63" s="1">
        <f t="shared" si="2"/>
        <v>1096.0833333333333</v>
      </c>
      <c r="M63" s="1">
        <f t="shared" si="2"/>
        <v>1525.75</v>
      </c>
      <c r="N63" t="str">
        <f t="shared" si="0"/>
        <v>BOURGOGNE-FRANCHE-COMTÉ|25 - Doubs|CU Grand Besançon Métropole</v>
      </c>
      <c r="O63" s="1" t="str">
        <f t="shared" si="1"/>
        <v>Province</v>
      </c>
    </row>
    <row r="64" spans="1:15" x14ac:dyDescent="0.25">
      <c r="A64" s="1" t="s">
        <v>146</v>
      </c>
      <c r="B64" t="s">
        <v>163</v>
      </c>
      <c r="C64" t="s">
        <v>164</v>
      </c>
      <c r="D64" t="s">
        <v>165</v>
      </c>
      <c r="E64" t="s">
        <v>166</v>
      </c>
      <c r="F64" t="s">
        <v>20</v>
      </c>
      <c r="G64" t="s">
        <v>21</v>
      </c>
      <c r="H64" s="1">
        <v>10680</v>
      </c>
      <c r="I64" s="1">
        <v>13847</v>
      </c>
      <c r="J64" s="1">
        <v>18912</v>
      </c>
      <c r="K64" s="1">
        <f t="shared" si="2"/>
        <v>890</v>
      </c>
      <c r="L64" s="1">
        <f t="shared" si="2"/>
        <v>1153.9166666666667</v>
      </c>
      <c r="M64" s="1">
        <f t="shared" si="2"/>
        <v>1576</v>
      </c>
      <c r="N64" t="str">
        <f t="shared" si="0"/>
        <v>BOURGOGNE-FRANCHE-COMTÉ|39 - Jura|CA du Grand Dole</v>
      </c>
      <c r="O64" s="1" t="str">
        <f t="shared" si="1"/>
        <v>Province</v>
      </c>
    </row>
    <row r="65" spans="1:15" x14ac:dyDescent="0.25">
      <c r="A65" s="1" t="s">
        <v>146</v>
      </c>
      <c r="B65" t="s">
        <v>163</v>
      </c>
      <c r="C65" t="s">
        <v>164</v>
      </c>
      <c r="D65" t="s">
        <v>167</v>
      </c>
      <c r="E65" t="s">
        <v>168</v>
      </c>
      <c r="F65" t="s">
        <v>20</v>
      </c>
      <c r="G65" t="s">
        <v>21</v>
      </c>
      <c r="H65" s="1">
        <v>9971</v>
      </c>
      <c r="I65" s="1">
        <v>13440</v>
      </c>
      <c r="J65" s="1">
        <v>18417</v>
      </c>
      <c r="K65" s="1">
        <f t="shared" si="2"/>
        <v>830.91666666666663</v>
      </c>
      <c r="L65" s="1">
        <f t="shared" si="2"/>
        <v>1120</v>
      </c>
      <c r="M65" s="1">
        <f t="shared" si="2"/>
        <v>1534.75</v>
      </c>
      <c r="N65" t="str">
        <f t="shared" si="0"/>
        <v>BOURGOGNE-FRANCHE-COMTÉ|39 - Jura|CA ECLA (Espace Communautaire Lons Agglomération)</v>
      </c>
      <c r="O65" s="1" t="str">
        <f t="shared" si="1"/>
        <v>Province</v>
      </c>
    </row>
    <row r="66" spans="1:15" x14ac:dyDescent="0.25">
      <c r="A66" s="1" t="s">
        <v>146</v>
      </c>
      <c r="B66" t="s">
        <v>163</v>
      </c>
      <c r="C66" t="s">
        <v>164</v>
      </c>
      <c r="D66" t="s">
        <v>169</v>
      </c>
      <c r="E66" t="s">
        <v>170</v>
      </c>
      <c r="F66" t="s">
        <v>20</v>
      </c>
      <c r="G66" t="s">
        <v>21</v>
      </c>
      <c r="H66" s="1">
        <v>10935</v>
      </c>
      <c r="I66" s="1">
        <v>14943</v>
      </c>
      <c r="J66" s="1">
        <v>20316</v>
      </c>
      <c r="K66" s="1">
        <f t="shared" si="2"/>
        <v>911.25</v>
      </c>
      <c r="L66" s="1">
        <f t="shared" si="2"/>
        <v>1245.25</v>
      </c>
      <c r="M66" s="1">
        <f t="shared" si="2"/>
        <v>1693</v>
      </c>
      <c r="N66" t="str">
        <f t="shared" ref="N66:N129" si="3">SUBSTITUTE(
   UPPER(SUBSTITUTE(TRIM(A66), CHAR(160), " ")) &amp; "|" &amp;
   SUBSTITUTE(TRIM(C66), CHAR(160), " ") &amp; "|" &amp;
   SUBSTITUTE(TRIM(D66), CHAR(160), " "),
   "–", "-"
)</f>
        <v>BOURGOGNE-FRANCHE-COMTÉ|39 - Jura|CC Haut-Jura Saint-Claude</v>
      </c>
      <c r="O66" s="1" t="str">
        <f t="shared" ref="O66:O129" si="4">IF(A66="Hauts-de-France", "HDF",
IF(A66="Île-de-France", "IDF",
IF(OR(A66="Guadeloupe", A66="Martinique", A66="Guyane", A66="La Réunion", A66="Mayotte"), "OM", "Province")))</f>
        <v>Province</v>
      </c>
    </row>
    <row r="67" spans="1:15" x14ac:dyDescent="0.25">
      <c r="A67" s="1" t="s">
        <v>146</v>
      </c>
      <c r="B67" t="s">
        <v>171</v>
      </c>
      <c r="C67" t="s">
        <v>172</v>
      </c>
      <c r="D67" t="s">
        <v>173</v>
      </c>
      <c r="E67" t="s">
        <v>174</v>
      </c>
      <c r="F67" t="s">
        <v>20</v>
      </c>
      <c r="G67" t="s">
        <v>21</v>
      </c>
      <c r="H67" s="1">
        <v>9378</v>
      </c>
      <c r="I67" s="1">
        <v>12900</v>
      </c>
      <c r="J67" s="1">
        <v>18151</v>
      </c>
      <c r="K67" s="1">
        <f t="shared" ref="K67:M130" si="5">H67/12</f>
        <v>781.5</v>
      </c>
      <c r="L67" s="1">
        <f t="shared" si="5"/>
        <v>1075</v>
      </c>
      <c r="M67" s="1">
        <f t="shared" si="5"/>
        <v>1512.5833333333333</v>
      </c>
      <c r="N67" t="str">
        <f t="shared" si="3"/>
        <v>BOURGOGNE-FRANCHE-COMTÉ|58 - Nièvre|CA de Nevers</v>
      </c>
      <c r="O67" s="1" t="str">
        <f t="shared" si="4"/>
        <v>Province</v>
      </c>
    </row>
    <row r="68" spans="1:15" x14ac:dyDescent="0.25">
      <c r="A68" s="1" t="s">
        <v>146</v>
      </c>
      <c r="B68" t="s">
        <v>171</v>
      </c>
      <c r="C68" t="s">
        <v>172</v>
      </c>
      <c r="D68" t="s">
        <v>40</v>
      </c>
      <c r="E68" t="s">
        <v>41</v>
      </c>
      <c r="F68" t="s">
        <v>20</v>
      </c>
      <c r="G68" t="s">
        <v>21</v>
      </c>
      <c r="H68" s="1">
        <v>9518</v>
      </c>
      <c r="I68" s="1">
        <v>13049</v>
      </c>
      <c r="J68" s="1">
        <v>18372</v>
      </c>
      <c r="K68" s="1">
        <f t="shared" si="5"/>
        <v>793.16666666666663</v>
      </c>
      <c r="L68" s="1">
        <f t="shared" si="5"/>
        <v>1087.4166666666667</v>
      </c>
      <c r="M68" s="1">
        <f t="shared" si="5"/>
        <v>1531</v>
      </c>
      <c r="N68" t="str">
        <f t="shared" si="3"/>
        <v>BOURGOGNE-FRANCHE-COMTÉ|58 - Nièvre|CA Moulins Communauté</v>
      </c>
      <c r="O68" s="1" t="str">
        <f t="shared" si="4"/>
        <v>Province</v>
      </c>
    </row>
    <row r="69" spans="1:15" x14ac:dyDescent="0.25">
      <c r="A69" s="1" t="s">
        <v>146</v>
      </c>
      <c r="B69" t="s">
        <v>171</v>
      </c>
      <c r="C69" t="s">
        <v>172</v>
      </c>
      <c r="D69" t="s">
        <v>175</v>
      </c>
      <c r="E69" t="s">
        <v>176</v>
      </c>
      <c r="F69" t="s">
        <v>20</v>
      </c>
      <c r="G69" t="s">
        <v>21</v>
      </c>
      <c r="H69" s="1">
        <v>8174</v>
      </c>
      <c r="I69" s="1">
        <v>12048</v>
      </c>
      <c r="J69" s="1">
        <v>15775</v>
      </c>
      <c r="K69" s="1">
        <f t="shared" si="5"/>
        <v>681.16666666666663</v>
      </c>
      <c r="L69" s="1">
        <f t="shared" si="5"/>
        <v>1004</v>
      </c>
      <c r="M69" s="1">
        <f t="shared" si="5"/>
        <v>1314.5833333333333</v>
      </c>
      <c r="N69" t="str">
        <f t="shared" si="3"/>
        <v>BOURGOGNE-FRANCHE-COMTÉ|58 - Nièvre|CC Coeur de Loire</v>
      </c>
      <c r="O69" s="1" t="str">
        <f t="shared" si="4"/>
        <v>Province</v>
      </c>
    </row>
    <row r="70" spans="1:15" x14ac:dyDescent="0.25">
      <c r="A70" s="1" t="s">
        <v>146</v>
      </c>
      <c r="B70" t="s">
        <v>177</v>
      </c>
      <c r="C70" t="s">
        <v>178</v>
      </c>
      <c r="D70" t="s">
        <v>179</v>
      </c>
      <c r="E70" t="s">
        <v>180</v>
      </c>
      <c r="F70" t="s">
        <v>20</v>
      </c>
      <c r="G70" t="s">
        <v>21</v>
      </c>
      <c r="H70" s="1">
        <v>9861</v>
      </c>
      <c r="I70" s="1">
        <v>13368</v>
      </c>
      <c r="J70" s="1">
        <v>18720</v>
      </c>
      <c r="K70" s="1">
        <f t="shared" si="5"/>
        <v>821.75</v>
      </c>
      <c r="L70" s="1">
        <f t="shared" si="5"/>
        <v>1114</v>
      </c>
      <c r="M70" s="1">
        <f t="shared" si="5"/>
        <v>1560</v>
      </c>
      <c r="N70" t="str">
        <f t="shared" si="3"/>
        <v>BOURGOGNE-FRANCHE-COMTÉ|70 - Haute-Saône|CA de Vesoul</v>
      </c>
      <c r="O70" s="1" t="str">
        <f t="shared" si="4"/>
        <v>Province</v>
      </c>
    </row>
    <row r="71" spans="1:15" x14ac:dyDescent="0.25">
      <c r="A71" s="1" t="s">
        <v>146</v>
      </c>
      <c r="B71" t="s">
        <v>177</v>
      </c>
      <c r="C71" t="s">
        <v>178</v>
      </c>
      <c r="D71" t="s">
        <v>181</v>
      </c>
      <c r="E71" t="s">
        <v>182</v>
      </c>
      <c r="F71" t="s">
        <v>20</v>
      </c>
      <c r="G71" t="s">
        <v>21</v>
      </c>
      <c r="H71" s="1">
        <v>8480</v>
      </c>
      <c r="I71" s="1">
        <v>12600</v>
      </c>
      <c r="J71" s="1">
        <v>17664</v>
      </c>
      <c r="K71" s="1">
        <f t="shared" si="5"/>
        <v>706.66666666666663</v>
      </c>
      <c r="L71" s="1">
        <f t="shared" si="5"/>
        <v>1050</v>
      </c>
      <c r="M71" s="1">
        <f t="shared" si="5"/>
        <v>1472</v>
      </c>
      <c r="N71" t="str">
        <f t="shared" si="3"/>
        <v>BOURGOGNE-FRANCHE-COMTÉ|70 - Haute-Saône|CC du Pays de Lure</v>
      </c>
      <c r="O71" s="1" t="str">
        <f t="shared" si="4"/>
        <v>Province</v>
      </c>
    </row>
    <row r="72" spans="1:15" x14ac:dyDescent="0.25">
      <c r="A72" s="1" t="s">
        <v>146</v>
      </c>
      <c r="B72" t="s">
        <v>177</v>
      </c>
      <c r="C72" t="s">
        <v>178</v>
      </c>
      <c r="D72" t="s">
        <v>183</v>
      </c>
      <c r="E72" t="s">
        <v>184</v>
      </c>
      <c r="F72" t="s">
        <v>20</v>
      </c>
      <c r="G72" t="s">
        <v>21</v>
      </c>
      <c r="H72" s="1">
        <v>9338</v>
      </c>
      <c r="I72" s="1">
        <v>12647</v>
      </c>
      <c r="J72" s="1">
        <v>17920</v>
      </c>
      <c r="K72" s="1">
        <f t="shared" si="5"/>
        <v>778.16666666666663</v>
      </c>
      <c r="L72" s="1">
        <f t="shared" si="5"/>
        <v>1053.9166666666667</v>
      </c>
      <c r="M72" s="1">
        <f t="shared" si="5"/>
        <v>1493.3333333333333</v>
      </c>
      <c r="N72" t="str">
        <f t="shared" si="3"/>
        <v>BOURGOGNE-FRANCHE-COMTÉ|70 - Haute-Saône|CC du Pays de Luxeuil</v>
      </c>
      <c r="O72" s="1" t="str">
        <f t="shared" si="4"/>
        <v>Province</v>
      </c>
    </row>
    <row r="73" spans="1:15" x14ac:dyDescent="0.25">
      <c r="A73" s="1" t="s">
        <v>146</v>
      </c>
      <c r="B73" t="s">
        <v>177</v>
      </c>
      <c r="C73" t="s">
        <v>178</v>
      </c>
      <c r="D73" t="s">
        <v>159</v>
      </c>
      <c r="E73" t="s">
        <v>160</v>
      </c>
      <c r="F73" t="s">
        <v>20</v>
      </c>
      <c r="G73" t="s">
        <v>21</v>
      </c>
      <c r="H73" s="1">
        <v>10029</v>
      </c>
      <c r="I73" s="1">
        <v>14438</v>
      </c>
      <c r="J73" s="1">
        <v>19560</v>
      </c>
      <c r="K73" s="1">
        <f t="shared" si="5"/>
        <v>835.75</v>
      </c>
      <c r="L73" s="1">
        <f t="shared" si="5"/>
        <v>1203.1666666666667</v>
      </c>
      <c r="M73" s="1">
        <f t="shared" si="5"/>
        <v>1630</v>
      </c>
      <c r="N73" t="str">
        <f t="shared" si="3"/>
        <v>BOURGOGNE-FRANCHE-COMTÉ|70 - Haute-Saône|CC du Pays d'Héricourt</v>
      </c>
      <c r="O73" s="1" t="str">
        <f t="shared" si="4"/>
        <v>Province</v>
      </c>
    </row>
    <row r="74" spans="1:15" x14ac:dyDescent="0.25">
      <c r="A74" s="1" t="s">
        <v>146</v>
      </c>
      <c r="B74" t="s">
        <v>177</v>
      </c>
      <c r="C74" t="s">
        <v>178</v>
      </c>
      <c r="D74" t="s">
        <v>185</v>
      </c>
      <c r="E74" t="s">
        <v>186</v>
      </c>
      <c r="F74" t="s">
        <v>20</v>
      </c>
      <c r="G74" t="s">
        <v>21</v>
      </c>
      <c r="H74" s="1">
        <v>8528</v>
      </c>
      <c r="I74" s="1">
        <v>12120</v>
      </c>
      <c r="J74" s="1">
        <v>16828</v>
      </c>
      <c r="K74" s="1">
        <f t="shared" si="5"/>
        <v>710.66666666666663</v>
      </c>
      <c r="L74" s="1">
        <f t="shared" si="5"/>
        <v>1010</v>
      </c>
      <c r="M74" s="1">
        <f t="shared" si="5"/>
        <v>1402.3333333333333</v>
      </c>
      <c r="N74" t="str">
        <f t="shared" si="3"/>
        <v>BOURGOGNE-FRANCHE-COMTÉ|70 - Haute-Saône|CC Val de Gray</v>
      </c>
      <c r="O74" s="1" t="str">
        <f t="shared" si="4"/>
        <v>Province</v>
      </c>
    </row>
    <row r="75" spans="1:15" x14ac:dyDescent="0.25">
      <c r="A75" s="1" t="s">
        <v>146</v>
      </c>
      <c r="B75" t="s">
        <v>187</v>
      </c>
      <c r="C75" t="s">
        <v>188</v>
      </c>
      <c r="D75" t="s">
        <v>149</v>
      </c>
      <c r="E75" t="s">
        <v>150</v>
      </c>
      <c r="F75" t="s">
        <v>20</v>
      </c>
      <c r="G75" t="s">
        <v>21</v>
      </c>
      <c r="H75" s="1">
        <v>11174</v>
      </c>
      <c r="I75" s="1">
        <v>15060</v>
      </c>
      <c r="J75" s="1">
        <v>19374</v>
      </c>
      <c r="K75" s="1">
        <f t="shared" si="5"/>
        <v>931.16666666666663</v>
      </c>
      <c r="L75" s="1">
        <f t="shared" si="5"/>
        <v>1255</v>
      </c>
      <c r="M75" s="1">
        <f t="shared" si="5"/>
        <v>1614.5</v>
      </c>
      <c r="N75" t="str">
        <f t="shared" si="3"/>
        <v>BOURGOGNE-FRANCHE-COMTÉ|71 - Saône-et-Loire|CA Beaune, Côte et Sud - Communauté Beaune-Chagny-Nolay</v>
      </c>
      <c r="O75" s="1" t="str">
        <f t="shared" si="4"/>
        <v>Province</v>
      </c>
    </row>
    <row r="76" spans="1:15" x14ac:dyDescent="0.25">
      <c r="A76" s="1" t="s">
        <v>146</v>
      </c>
      <c r="B76" t="s">
        <v>187</v>
      </c>
      <c r="C76" t="s">
        <v>188</v>
      </c>
      <c r="D76" t="s">
        <v>189</v>
      </c>
      <c r="E76" t="s">
        <v>190</v>
      </c>
      <c r="F76" t="s">
        <v>20</v>
      </c>
      <c r="G76" t="s">
        <v>21</v>
      </c>
      <c r="H76" s="1">
        <v>9936</v>
      </c>
      <c r="I76" s="1">
        <v>13718</v>
      </c>
      <c r="J76" s="1">
        <v>18733</v>
      </c>
      <c r="K76" s="1">
        <f t="shared" si="5"/>
        <v>828</v>
      </c>
      <c r="L76" s="1">
        <f t="shared" si="5"/>
        <v>1143.1666666666667</v>
      </c>
      <c r="M76" s="1">
        <f t="shared" si="5"/>
        <v>1561.0833333333333</v>
      </c>
      <c r="N76" t="str">
        <f t="shared" si="3"/>
        <v>BOURGOGNE-FRANCHE-COMTÉ|71 - Saône-et-Loire|CA Le Grand Chalon</v>
      </c>
      <c r="O76" s="1" t="str">
        <f t="shared" si="4"/>
        <v>Province</v>
      </c>
    </row>
    <row r="77" spans="1:15" x14ac:dyDescent="0.25">
      <c r="A77" s="1" t="s">
        <v>146</v>
      </c>
      <c r="B77" t="s">
        <v>187</v>
      </c>
      <c r="C77" t="s">
        <v>188</v>
      </c>
      <c r="D77" t="s">
        <v>26</v>
      </c>
      <c r="E77" t="s">
        <v>27</v>
      </c>
      <c r="F77" t="s">
        <v>20</v>
      </c>
      <c r="G77" t="s">
        <v>21</v>
      </c>
      <c r="H77" s="1">
        <v>10303</v>
      </c>
      <c r="I77" s="1">
        <v>14353</v>
      </c>
      <c r="J77" s="1">
        <v>19200</v>
      </c>
      <c r="K77" s="1">
        <f t="shared" si="5"/>
        <v>858.58333333333337</v>
      </c>
      <c r="L77" s="1">
        <f t="shared" si="5"/>
        <v>1196.0833333333333</v>
      </c>
      <c r="M77" s="1">
        <f t="shared" si="5"/>
        <v>1600</v>
      </c>
      <c r="N77" t="str">
        <f t="shared" si="3"/>
        <v>BOURGOGNE-FRANCHE-COMTÉ|71 - Saône-et-Loire|CA Mâconnais Beaujolais Agglomération</v>
      </c>
      <c r="O77" s="1" t="str">
        <f t="shared" si="4"/>
        <v>Province</v>
      </c>
    </row>
    <row r="78" spans="1:15" x14ac:dyDescent="0.25">
      <c r="A78" s="1" t="s">
        <v>146</v>
      </c>
      <c r="B78" t="s">
        <v>187</v>
      </c>
      <c r="C78" t="s">
        <v>188</v>
      </c>
      <c r="D78" t="s">
        <v>191</v>
      </c>
      <c r="E78" t="s">
        <v>192</v>
      </c>
      <c r="F78" t="s">
        <v>20</v>
      </c>
      <c r="G78" t="s">
        <v>21</v>
      </c>
      <c r="H78" s="1">
        <v>8364</v>
      </c>
      <c r="I78" s="1">
        <v>13248</v>
      </c>
      <c r="J78" s="1">
        <v>18874</v>
      </c>
      <c r="K78" s="1">
        <f t="shared" si="5"/>
        <v>697</v>
      </c>
      <c r="L78" s="1">
        <f t="shared" si="5"/>
        <v>1104</v>
      </c>
      <c r="M78" s="1">
        <f t="shared" si="5"/>
        <v>1572.8333333333333</v>
      </c>
      <c r="N78" t="str">
        <f t="shared" si="3"/>
        <v>BOURGOGNE-FRANCHE-COMTÉ|71 - Saône-et-Loire|CC du Grand Autunois Morvan</v>
      </c>
      <c r="O78" s="1" t="str">
        <f t="shared" si="4"/>
        <v>Province</v>
      </c>
    </row>
    <row r="79" spans="1:15" x14ac:dyDescent="0.25">
      <c r="A79" s="1" t="s">
        <v>146</v>
      </c>
      <c r="B79" t="s">
        <v>187</v>
      </c>
      <c r="C79" t="s">
        <v>188</v>
      </c>
      <c r="D79" t="s">
        <v>193</v>
      </c>
      <c r="E79" t="s">
        <v>194</v>
      </c>
      <c r="F79" t="s">
        <v>20</v>
      </c>
      <c r="G79" t="s">
        <v>21</v>
      </c>
      <c r="H79" s="1">
        <v>9643</v>
      </c>
      <c r="I79" s="1">
        <v>13494</v>
      </c>
      <c r="J79" s="1">
        <v>18967</v>
      </c>
      <c r="K79" s="1">
        <f t="shared" si="5"/>
        <v>803.58333333333337</v>
      </c>
      <c r="L79" s="1">
        <f t="shared" si="5"/>
        <v>1124.5</v>
      </c>
      <c r="M79" s="1">
        <f t="shared" si="5"/>
        <v>1580.5833333333333</v>
      </c>
      <c r="N79" t="str">
        <f t="shared" si="3"/>
        <v>BOURGOGNE-FRANCHE-COMTÉ|71 - Saône-et-Loire|CU Le Creusot Montceau-les-Mines</v>
      </c>
      <c r="O79" s="1" t="str">
        <f t="shared" si="4"/>
        <v>Province</v>
      </c>
    </row>
    <row r="80" spans="1:15" x14ac:dyDescent="0.25">
      <c r="A80" s="1" t="s">
        <v>146</v>
      </c>
      <c r="B80" t="s">
        <v>195</v>
      </c>
      <c r="C80" t="s">
        <v>196</v>
      </c>
      <c r="D80" t="s">
        <v>197</v>
      </c>
      <c r="E80" t="s">
        <v>198</v>
      </c>
      <c r="F80" t="s">
        <v>20</v>
      </c>
      <c r="G80" t="s">
        <v>21</v>
      </c>
      <c r="H80" s="1">
        <v>9632</v>
      </c>
      <c r="I80" s="1">
        <v>13280</v>
      </c>
      <c r="J80" s="1">
        <v>18300</v>
      </c>
      <c r="K80" s="1">
        <f t="shared" si="5"/>
        <v>802.66666666666663</v>
      </c>
      <c r="L80" s="1">
        <f t="shared" si="5"/>
        <v>1106.6666666666667</v>
      </c>
      <c r="M80" s="1">
        <f t="shared" si="5"/>
        <v>1525</v>
      </c>
      <c r="N80" t="str">
        <f t="shared" si="3"/>
        <v>BOURGOGNE-FRANCHE-COMTÉ|89 - Yonne|CA de l'Auxerrois</v>
      </c>
      <c r="O80" s="1" t="str">
        <f t="shared" si="4"/>
        <v>Province</v>
      </c>
    </row>
    <row r="81" spans="1:15" x14ac:dyDescent="0.25">
      <c r="A81" s="1" t="s">
        <v>146</v>
      </c>
      <c r="B81" t="s">
        <v>195</v>
      </c>
      <c r="C81" t="s">
        <v>196</v>
      </c>
      <c r="D81" t="s">
        <v>199</v>
      </c>
      <c r="E81" t="s">
        <v>200</v>
      </c>
      <c r="F81" t="s">
        <v>20</v>
      </c>
      <c r="G81" t="s">
        <v>21</v>
      </c>
      <c r="H81" s="1">
        <v>9568</v>
      </c>
      <c r="I81" s="1">
        <v>13400</v>
      </c>
      <c r="J81" s="1">
        <v>18888</v>
      </c>
      <c r="K81" s="1">
        <f t="shared" si="5"/>
        <v>797.33333333333337</v>
      </c>
      <c r="L81" s="1">
        <f t="shared" si="5"/>
        <v>1116.6666666666667</v>
      </c>
      <c r="M81" s="1">
        <f t="shared" si="5"/>
        <v>1574</v>
      </c>
      <c r="N81" t="str">
        <f t="shared" si="3"/>
        <v>BOURGOGNE-FRANCHE-COMTÉ|89 - Yonne|CA du Grand Sénonais</v>
      </c>
      <c r="O81" s="1" t="str">
        <f t="shared" si="4"/>
        <v>Province</v>
      </c>
    </row>
    <row r="82" spans="1:15" x14ac:dyDescent="0.25">
      <c r="A82" s="1" t="s">
        <v>146</v>
      </c>
      <c r="B82" t="s">
        <v>195</v>
      </c>
      <c r="C82" t="s">
        <v>196</v>
      </c>
      <c r="D82" t="s">
        <v>201</v>
      </c>
      <c r="E82" t="s">
        <v>202</v>
      </c>
      <c r="F82" t="s">
        <v>20</v>
      </c>
      <c r="G82" t="s">
        <v>21</v>
      </c>
      <c r="H82" s="1">
        <v>9027</v>
      </c>
      <c r="I82" s="1">
        <v>12912</v>
      </c>
      <c r="J82" s="1">
        <v>16569</v>
      </c>
      <c r="K82" s="1">
        <f t="shared" si="5"/>
        <v>752.25</v>
      </c>
      <c r="L82" s="1">
        <f t="shared" si="5"/>
        <v>1076</v>
      </c>
      <c r="M82" s="1">
        <f t="shared" si="5"/>
        <v>1380.75</v>
      </c>
      <c r="N82" t="str">
        <f t="shared" si="3"/>
        <v>BOURGOGNE-FRANCHE-COMTÉ|89 - Yonne|CC de l'Agglomération Migennoise</v>
      </c>
      <c r="O82" s="1" t="str">
        <f t="shared" si="4"/>
        <v>Province</v>
      </c>
    </row>
    <row r="83" spans="1:15" x14ac:dyDescent="0.25">
      <c r="A83" s="1" t="s">
        <v>146</v>
      </c>
      <c r="B83" t="s">
        <v>195</v>
      </c>
      <c r="C83" t="s">
        <v>196</v>
      </c>
      <c r="D83" t="s">
        <v>203</v>
      </c>
      <c r="E83" t="s">
        <v>204</v>
      </c>
      <c r="F83" t="s">
        <v>20</v>
      </c>
      <c r="G83" t="s">
        <v>21</v>
      </c>
      <c r="H83" s="1">
        <v>8885</v>
      </c>
      <c r="I83" s="1">
        <v>12240</v>
      </c>
      <c r="J83" s="1">
        <v>16704</v>
      </c>
      <c r="K83" s="1">
        <f t="shared" si="5"/>
        <v>740.41666666666663</v>
      </c>
      <c r="L83" s="1">
        <f t="shared" si="5"/>
        <v>1020</v>
      </c>
      <c r="M83" s="1">
        <f t="shared" si="5"/>
        <v>1392</v>
      </c>
      <c r="N83" t="str">
        <f t="shared" si="3"/>
        <v>BOURGOGNE-FRANCHE-COMTÉ|89 - Yonne|CC du Jovinien</v>
      </c>
      <c r="O83" s="1" t="str">
        <f t="shared" si="4"/>
        <v>Province</v>
      </c>
    </row>
    <row r="84" spans="1:15" x14ac:dyDescent="0.25">
      <c r="A84" s="1" t="s">
        <v>146</v>
      </c>
      <c r="B84" t="s">
        <v>205</v>
      </c>
      <c r="C84" t="s">
        <v>206</v>
      </c>
      <c r="D84" t="s">
        <v>207</v>
      </c>
      <c r="E84" t="s">
        <v>208</v>
      </c>
      <c r="F84" t="s">
        <v>20</v>
      </c>
      <c r="G84" t="s">
        <v>21</v>
      </c>
      <c r="H84" s="1">
        <v>8252</v>
      </c>
      <c r="I84" s="1">
        <v>12192</v>
      </c>
      <c r="J84" s="1">
        <v>17019</v>
      </c>
      <c r="K84" s="1">
        <f t="shared" si="5"/>
        <v>687.66666666666663</v>
      </c>
      <c r="L84" s="1">
        <f t="shared" si="5"/>
        <v>1016</v>
      </c>
      <c r="M84" s="1">
        <f t="shared" si="5"/>
        <v>1418.25</v>
      </c>
      <c r="N84" t="str">
        <f t="shared" si="3"/>
        <v>BOURGOGNE-FRANCHE-COMTÉ|90 - Territoire de Belfort|CA Grand Belfort</v>
      </c>
      <c r="O84" s="1" t="str">
        <f t="shared" si="4"/>
        <v>Province</v>
      </c>
    </row>
    <row r="85" spans="1:15" x14ac:dyDescent="0.25">
      <c r="A85" s="1" t="s">
        <v>209</v>
      </c>
      <c r="B85" t="s">
        <v>210</v>
      </c>
      <c r="C85" t="s">
        <v>211</v>
      </c>
      <c r="D85" t="s">
        <v>212</v>
      </c>
      <c r="E85" t="s">
        <v>213</v>
      </c>
      <c r="F85" t="s">
        <v>20</v>
      </c>
      <c r="G85" t="s">
        <v>21</v>
      </c>
      <c r="H85" s="1">
        <v>10800</v>
      </c>
      <c r="I85" s="1">
        <v>14400</v>
      </c>
      <c r="J85" s="1">
        <v>19044</v>
      </c>
      <c r="K85" s="1">
        <f t="shared" si="5"/>
        <v>900</v>
      </c>
      <c r="L85" s="1">
        <f t="shared" si="5"/>
        <v>1200</v>
      </c>
      <c r="M85" s="1">
        <f t="shared" si="5"/>
        <v>1587</v>
      </c>
      <c r="N85" t="str">
        <f t="shared" si="3"/>
        <v>BRETAGNE|22 - Côtes-d'Armor|CA Dinan Agglomération</v>
      </c>
      <c r="O85" s="1" t="str">
        <f t="shared" si="4"/>
        <v>Province</v>
      </c>
    </row>
    <row r="86" spans="1:15" x14ac:dyDescent="0.25">
      <c r="A86" s="1" t="s">
        <v>209</v>
      </c>
      <c r="B86" t="s">
        <v>210</v>
      </c>
      <c r="C86" t="s">
        <v>211</v>
      </c>
      <c r="D86" t="s">
        <v>214</v>
      </c>
      <c r="E86" t="s">
        <v>215</v>
      </c>
      <c r="F86" t="s">
        <v>20</v>
      </c>
      <c r="G86" t="s">
        <v>21</v>
      </c>
      <c r="H86" s="1">
        <v>9732</v>
      </c>
      <c r="I86" s="1">
        <v>12804</v>
      </c>
      <c r="J86" s="1">
        <v>17296</v>
      </c>
      <c r="K86" s="1">
        <f t="shared" si="5"/>
        <v>811</v>
      </c>
      <c r="L86" s="1">
        <f t="shared" si="5"/>
        <v>1067</v>
      </c>
      <c r="M86" s="1">
        <f t="shared" si="5"/>
        <v>1441.3333333333333</v>
      </c>
      <c r="N86" t="str">
        <f t="shared" si="3"/>
        <v>BRETAGNE|22 - Côtes-d'Armor|CA Guingamp-Paimpol Agglomération de l'Armor à l'Argoat</v>
      </c>
      <c r="O86" s="1" t="str">
        <f t="shared" si="4"/>
        <v>Province</v>
      </c>
    </row>
    <row r="87" spans="1:15" x14ac:dyDescent="0.25">
      <c r="A87" s="1" t="s">
        <v>209</v>
      </c>
      <c r="B87" t="s">
        <v>210</v>
      </c>
      <c r="C87" t="s">
        <v>211</v>
      </c>
      <c r="D87" t="s">
        <v>216</v>
      </c>
      <c r="E87" t="s">
        <v>217</v>
      </c>
      <c r="F87" t="s">
        <v>20</v>
      </c>
      <c r="G87" t="s">
        <v>21</v>
      </c>
      <c r="H87" s="1">
        <v>10800</v>
      </c>
      <c r="I87" s="1">
        <v>14128</v>
      </c>
      <c r="J87" s="1">
        <v>18690</v>
      </c>
      <c r="K87" s="1">
        <f t="shared" si="5"/>
        <v>900</v>
      </c>
      <c r="L87" s="1">
        <f t="shared" si="5"/>
        <v>1177.3333333333333</v>
      </c>
      <c r="M87" s="1">
        <f t="shared" si="5"/>
        <v>1557.5</v>
      </c>
      <c r="N87" t="str">
        <f t="shared" si="3"/>
        <v>BRETAGNE|22 - Côtes-d'Armor|CA Lamballe Terre et Mer</v>
      </c>
      <c r="O87" s="1" t="str">
        <f t="shared" si="4"/>
        <v>Province</v>
      </c>
    </row>
    <row r="88" spans="1:15" x14ac:dyDescent="0.25">
      <c r="A88" s="1" t="s">
        <v>209</v>
      </c>
      <c r="B88" t="s">
        <v>210</v>
      </c>
      <c r="C88" t="s">
        <v>211</v>
      </c>
      <c r="D88" t="s">
        <v>218</v>
      </c>
      <c r="E88" t="s">
        <v>219</v>
      </c>
      <c r="F88" t="s">
        <v>20</v>
      </c>
      <c r="G88" t="s">
        <v>21</v>
      </c>
      <c r="H88" s="1">
        <v>10824</v>
      </c>
      <c r="I88" s="1">
        <v>14086</v>
      </c>
      <c r="J88" s="1">
        <v>18914</v>
      </c>
      <c r="K88" s="1">
        <f t="shared" si="5"/>
        <v>902</v>
      </c>
      <c r="L88" s="1">
        <f t="shared" si="5"/>
        <v>1173.8333333333333</v>
      </c>
      <c r="M88" s="1">
        <f t="shared" si="5"/>
        <v>1576.1666666666667</v>
      </c>
      <c r="N88" t="str">
        <f t="shared" si="3"/>
        <v>BRETAGNE|22 - Côtes-d'Armor|CA Lannion-Trégor Communauté</v>
      </c>
      <c r="O88" s="1" t="str">
        <f t="shared" si="4"/>
        <v>Province</v>
      </c>
    </row>
    <row r="89" spans="1:15" x14ac:dyDescent="0.25">
      <c r="A89" s="1" t="s">
        <v>209</v>
      </c>
      <c r="B89" t="s">
        <v>210</v>
      </c>
      <c r="C89" t="s">
        <v>211</v>
      </c>
      <c r="D89" t="s">
        <v>220</v>
      </c>
      <c r="E89" t="s">
        <v>221</v>
      </c>
      <c r="F89" t="s">
        <v>20</v>
      </c>
      <c r="G89" t="s">
        <v>21</v>
      </c>
      <c r="H89" s="1">
        <v>9685</v>
      </c>
      <c r="I89" s="1">
        <v>13051</v>
      </c>
      <c r="J89" s="1">
        <v>18000</v>
      </c>
      <c r="K89" s="1">
        <f t="shared" si="5"/>
        <v>807.08333333333337</v>
      </c>
      <c r="L89" s="1">
        <f t="shared" si="5"/>
        <v>1087.5833333333333</v>
      </c>
      <c r="M89" s="1">
        <f t="shared" si="5"/>
        <v>1500</v>
      </c>
      <c r="N89" t="str">
        <f t="shared" si="3"/>
        <v>BRETAGNE|22 - Côtes-d'Armor|CA Saint-Brieuc Armor Agglomération</v>
      </c>
      <c r="O89" s="1" t="str">
        <f t="shared" si="4"/>
        <v>Province</v>
      </c>
    </row>
    <row r="90" spans="1:15" x14ac:dyDescent="0.25">
      <c r="A90" s="1" t="s">
        <v>209</v>
      </c>
      <c r="B90" t="s">
        <v>210</v>
      </c>
      <c r="C90" t="s">
        <v>211</v>
      </c>
      <c r="D90" t="s">
        <v>222</v>
      </c>
      <c r="E90" t="s">
        <v>223</v>
      </c>
      <c r="F90" t="s">
        <v>20</v>
      </c>
      <c r="G90" t="s">
        <v>21</v>
      </c>
      <c r="H90" s="1">
        <v>9826</v>
      </c>
      <c r="I90" s="1">
        <v>12906</v>
      </c>
      <c r="J90" s="1">
        <v>17400</v>
      </c>
      <c r="K90" s="1">
        <f t="shared" si="5"/>
        <v>818.83333333333337</v>
      </c>
      <c r="L90" s="1">
        <f t="shared" si="5"/>
        <v>1075.5</v>
      </c>
      <c r="M90" s="1">
        <f t="shared" si="5"/>
        <v>1450</v>
      </c>
      <c r="N90" t="str">
        <f t="shared" si="3"/>
        <v>BRETAGNE|22 - Côtes-d'Armor|CC Pontivy Communauté</v>
      </c>
      <c r="O90" s="1" t="str">
        <f t="shared" si="4"/>
        <v>Province</v>
      </c>
    </row>
    <row r="91" spans="1:15" x14ac:dyDescent="0.25">
      <c r="A91" s="1" t="s">
        <v>209</v>
      </c>
      <c r="B91" t="s">
        <v>224</v>
      </c>
      <c r="C91" t="s">
        <v>225</v>
      </c>
      <c r="D91" t="s">
        <v>226</v>
      </c>
      <c r="E91" t="s">
        <v>227</v>
      </c>
      <c r="F91" t="s">
        <v>20</v>
      </c>
      <c r="G91" t="s">
        <v>21</v>
      </c>
      <c r="H91" s="1">
        <v>10115</v>
      </c>
      <c r="I91" s="1">
        <v>13440</v>
      </c>
      <c r="J91" s="1">
        <v>18646</v>
      </c>
      <c r="K91" s="1">
        <f t="shared" si="5"/>
        <v>842.91666666666663</v>
      </c>
      <c r="L91" s="1">
        <f t="shared" si="5"/>
        <v>1120</v>
      </c>
      <c r="M91" s="1">
        <f t="shared" si="5"/>
        <v>1553.8333333333333</v>
      </c>
      <c r="N91" t="str">
        <f t="shared" si="3"/>
        <v>BRETAGNE|29 - Finistère|Brest Métropole</v>
      </c>
      <c r="O91" s="1" t="str">
        <f t="shared" si="4"/>
        <v>Province</v>
      </c>
    </row>
    <row r="92" spans="1:15" x14ac:dyDescent="0.25">
      <c r="A92" s="1" t="s">
        <v>209</v>
      </c>
      <c r="B92" t="s">
        <v>224</v>
      </c>
      <c r="C92" t="s">
        <v>225</v>
      </c>
      <c r="D92" t="s">
        <v>228</v>
      </c>
      <c r="E92" t="s">
        <v>229</v>
      </c>
      <c r="F92" t="s">
        <v>20</v>
      </c>
      <c r="G92" t="s">
        <v>21</v>
      </c>
      <c r="H92" s="1">
        <v>11635</v>
      </c>
      <c r="I92" s="1">
        <v>15131</v>
      </c>
      <c r="J92" s="1">
        <v>19695</v>
      </c>
      <c r="K92" s="1">
        <f t="shared" si="5"/>
        <v>969.58333333333337</v>
      </c>
      <c r="L92" s="1">
        <f t="shared" si="5"/>
        <v>1260.9166666666667</v>
      </c>
      <c r="M92" s="1">
        <f t="shared" si="5"/>
        <v>1641.25</v>
      </c>
      <c r="N92" t="str">
        <f t="shared" si="3"/>
        <v>BRETAGNE|29 - Finistère|CA Concarneau Cornouaille Agglomération</v>
      </c>
      <c r="O92" s="1" t="str">
        <f t="shared" si="4"/>
        <v>Province</v>
      </c>
    </row>
    <row r="93" spans="1:15" x14ac:dyDescent="0.25">
      <c r="A93" s="1" t="s">
        <v>209</v>
      </c>
      <c r="B93" t="s">
        <v>224</v>
      </c>
      <c r="C93" t="s">
        <v>225</v>
      </c>
      <c r="D93" t="s">
        <v>230</v>
      </c>
      <c r="E93" t="s">
        <v>231</v>
      </c>
      <c r="F93" t="s">
        <v>20</v>
      </c>
      <c r="G93" t="s">
        <v>21</v>
      </c>
      <c r="H93" s="1">
        <v>11652</v>
      </c>
      <c r="I93" s="1">
        <v>15105</v>
      </c>
      <c r="J93" s="1">
        <v>19458</v>
      </c>
      <c r="K93" s="1">
        <f t="shared" si="5"/>
        <v>971</v>
      </c>
      <c r="L93" s="1">
        <f t="shared" si="5"/>
        <v>1258.75</v>
      </c>
      <c r="M93" s="1">
        <f t="shared" si="5"/>
        <v>1621.5</v>
      </c>
      <c r="N93" t="str">
        <f t="shared" si="3"/>
        <v>BRETAGNE|29 - Finistère|CA du Pays de Landerneau-Daoulas</v>
      </c>
      <c r="O93" s="1" t="str">
        <f t="shared" si="4"/>
        <v>Province</v>
      </c>
    </row>
    <row r="94" spans="1:15" x14ac:dyDescent="0.25">
      <c r="A94" s="1" t="s">
        <v>209</v>
      </c>
      <c r="B94" t="s">
        <v>224</v>
      </c>
      <c r="C94" t="s">
        <v>225</v>
      </c>
      <c r="D94" t="s">
        <v>232</v>
      </c>
      <c r="E94" t="s">
        <v>233</v>
      </c>
      <c r="F94" t="s">
        <v>20</v>
      </c>
      <c r="G94" t="s">
        <v>21</v>
      </c>
      <c r="H94" s="1">
        <v>10356</v>
      </c>
      <c r="I94" s="1">
        <v>13056</v>
      </c>
      <c r="J94" s="1">
        <v>17520</v>
      </c>
      <c r="K94" s="1">
        <f t="shared" si="5"/>
        <v>863</v>
      </c>
      <c r="L94" s="1">
        <f t="shared" si="5"/>
        <v>1088</v>
      </c>
      <c r="M94" s="1">
        <f t="shared" si="5"/>
        <v>1460</v>
      </c>
      <c r="N94" t="str">
        <f t="shared" si="3"/>
        <v>BRETAGNE|29 - Finistère|CA Morlaix Communauté</v>
      </c>
      <c r="O94" s="1" t="str">
        <f t="shared" si="4"/>
        <v>Province</v>
      </c>
    </row>
    <row r="95" spans="1:15" x14ac:dyDescent="0.25">
      <c r="A95" s="1" t="s">
        <v>209</v>
      </c>
      <c r="B95" t="s">
        <v>224</v>
      </c>
      <c r="C95" t="s">
        <v>225</v>
      </c>
      <c r="D95" t="s">
        <v>234</v>
      </c>
      <c r="E95" t="s">
        <v>235</v>
      </c>
      <c r="F95" t="s">
        <v>20</v>
      </c>
      <c r="G95" t="s">
        <v>21</v>
      </c>
      <c r="H95" s="1">
        <v>10992</v>
      </c>
      <c r="I95" s="1">
        <v>14501</v>
      </c>
      <c r="J95" s="1">
        <v>19200</v>
      </c>
      <c r="K95" s="1">
        <f t="shared" si="5"/>
        <v>916</v>
      </c>
      <c r="L95" s="1">
        <f t="shared" si="5"/>
        <v>1208.4166666666667</v>
      </c>
      <c r="M95" s="1">
        <f t="shared" si="5"/>
        <v>1600</v>
      </c>
      <c r="N95" t="str">
        <f t="shared" si="3"/>
        <v>BRETAGNE|29 - Finistère|CA Quimper Bretagne Occidentale</v>
      </c>
      <c r="O95" s="1" t="str">
        <f t="shared" si="4"/>
        <v>Province</v>
      </c>
    </row>
    <row r="96" spans="1:15" x14ac:dyDescent="0.25">
      <c r="A96" s="1" t="s">
        <v>209</v>
      </c>
      <c r="B96" t="s">
        <v>224</v>
      </c>
      <c r="C96" t="s">
        <v>225</v>
      </c>
      <c r="D96" t="s">
        <v>236</v>
      </c>
      <c r="E96" t="s">
        <v>237</v>
      </c>
      <c r="F96" t="s">
        <v>20</v>
      </c>
      <c r="G96" t="s">
        <v>21</v>
      </c>
      <c r="H96" s="1">
        <v>11136</v>
      </c>
      <c r="I96" s="1">
        <v>14573</v>
      </c>
      <c r="J96" s="1">
        <v>19272</v>
      </c>
      <c r="K96" s="1">
        <f t="shared" si="5"/>
        <v>928</v>
      </c>
      <c r="L96" s="1">
        <f t="shared" si="5"/>
        <v>1214.4166666666667</v>
      </c>
      <c r="M96" s="1">
        <f t="shared" si="5"/>
        <v>1606</v>
      </c>
      <c r="N96" t="str">
        <f t="shared" si="3"/>
        <v>BRETAGNE|29 - Finistère|CA Quimperlé Communauté</v>
      </c>
      <c r="O96" s="1" t="str">
        <f t="shared" si="4"/>
        <v>Province</v>
      </c>
    </row>
    <row r="97" spans="1:15" x14ac:dyDescent="0.25">
      <c r="A97" s="1" t="s">
        <v>209</v>
      </c>
      <c r="B97" t="s">
        <v>238</v>
      </c>
      <c r="C97" t="s">
        <v>239</v>
      </c>
      <c r="D97" t="s">
        <v>240</v>
      </c>
      <c r="E97" t="s">
        <v>241</v>
      </c>
      <c r="F97" t="s">
        <v>20</v>
      </c>
      <c r="G97" t="s">
        <v>21</v>
      </c>
      <c r="H97" s="1">
        <v>11472</v>
      </c>
      <c r="I97" s="1">
        <v>15240</v>
      </c>
      <c r="J97" s="1">
        <v>19766</v>
      </c>
      <c r="K97" s="1">
        <f t="shared" si="5"/>
        <v>956</v>
      </c>
      <c r="L97" s="1">
        <f t="shared" si="5"/>
        <v>1270</v>
      </c>
      <c r="M97" s="1">
        <f t="shared" si="5"/>
        <v>1647.1666666666667</v>
      </c>
      <c r="N97" t="str">
        <f t="shared" si="3"/>
        <v>BRETAGNE|35 - Ille-et-Vilaine|CA du Pays de Saint Malo Agglomération</v>
      </c>
      <c r="O97" s="1" t="str">
        <f t="shared" si="4"/>
        <v>Province</v>
      </c>
    </row>
    <row r="98" spans="1:15" x14ac:dyDescent="0.25">
      <c r="A98" s="1" t="s">
        <v>209</v>
      </c>
      <c r="B98" t="s">
        <v>238</v>
      </c>
      <c r="C98" t="s">
        <v>239</v>
      </c>
      <c r="D98" t="s">
        <v>242</v>
      </c>
      <c r="E98" t="s">
        <v>243</v>
      </c>
      <c r="F98" t="s">
        <v>20</v>
      </c>
      <c r="G98" t="s">
        <v>21</v>
      </c>
      <c r="H98" s="1">
        <v>10026</v>
      </c>
      <c r="I98" s="1">
        <v>13451</v>
      </c>
      <c r="J98" s="1">
        <v>18000</v>
      </c>
      <c r="K98" s="1">
        <f t="shared" si="5"/>
        <v>835.5</v>
      </c>
      <c r="L98" s="1">
        <f t="shared" si="5"/>
        <v>1120.9166666666667</v>
      </c>
      <c r="M98" s="1">
        <f t="shared" si="5"/>
        <v>1500</v>
      </c>
      <c r="N98" t="str">
        <f t="shared" si="3"/>
        <v>BRETAGNE|35 - Ille-et-Vilaine|CA Fougères Agglomération</v>
      </c>
      <c r="O98" s="1" t="str">
        <f t="shared" si="4"/>
        <v>Province</v>
      </c>
    </row>
    <row r="99" spans="1:15" x14ac:dyDescent="0.25">
      <c r="A99" s="1" t="s">
        <v>209</v>
      </c>
      <c r="B99" t="s">
        <v>238</v>
      </c>
      <c r="C99" t="s">
        <v>239</v>
      </c>
      <c r="D99" t="s">
        <v>244</v>
      </c>
      <c r="E99" t="s">
        <v>245</v>
      </c>
      <c r="F99" t="s">
        <v>20</v>
      </c>
      <c r="G99" t="s">
        <v>21</v>
      </c>
      <c r="H99" s="1">
        <v>9756</v>
      </c>
      <c r="I99" s="1">
        <v>12388</v>
      </c>
      <c r="J99" s="1">
        <v>16680</v>
      </c>
      <c r="K99" s="1">
        <f t="shared" si="5"/>
        <v>813</v>
      </c>
      <c r="L99" s="1">
        <f t="shared" si="5"/>
        <v>1032.3333333333333</v>
      </c>
      <c r="M99" s="1">
        <f t="shared" si="5"/>
        <v>1390</v>
      </c>
      <c r="N99" t="str">
        <f t="shared" si="3"/>
        <v>BRETAGNE|35 - Ille-et-Vilaine|CA Redon Agglomération</v>
      </c>
      <c r="O99" s="1" t="str">
        <f t="shared" si="4"/>
        <v>Province</v>
      </c>
    </row>
    <row r="100" spans="1:15" x14ac:dyDescent="0.25">
      <c r="A100" s="1" t="s">
        <v>209</v>
      </c>
      <c r="B100" t="s">
        <v>238</v>
      </c>
      <c r="C100" t="s">
        <v>239</v>
      </c>
      <c r="D100" t="s">
        <v>246</v>
      </c>
      <c r="E100" t="s">
        <v>247</v>
      </c>
      <c r="F100" t="s">
        <v>20</v>
      </c>
      <c r="G100" t="s">
        <v>21</v>
      </c>
      <c r="H100" s="1">
        <v>10904</v>
      </c>
      <c r="I100" s="1">
        <v>14523</v>
      </c>
      <c r="J100" s="1">
        <v>19320</v>
      </c>
      <c r="K100" s="1">
        <f t="shared" si="5"/>
        <v>908.66666666666663</v>
      </c>
      <c r="L100" s="1">
        <f t="shared" si="5"/>
        <v>1210.25</v>
      </c>
      <c r="M100" s="1">
        <f t="shared" si="5"/>
        <v>1610</v>
      </c>
      <c r="N100" t="str">
        <f t="shared" si="3"/>
        <v>BRETAGNE|35 - Ille-et-Vilaine|CA Vitré Communauté</v>
      </c>
      <c r="O100" s="1" t="str">
        <f t="shared" si="4"/>
        <v>Province</v>
      </c>
    </row>
    <row r="101" spans="1:15" x14ac:dyDescent="0.25">
      <c r="A101" s="1" t="s">
        <v>209</v>
      </c>
      <c r="B101" t="s">
        <v>238</v>
      </c>
      <c r="C101" t="s">
        <v>239</v>
      </c>
      <c r="D101" t="s">
        <v>248</v>
      </c>
      <c r="E101" t="s">
        <v>249</v>
      </c>
      <c r="F101" t="s">
        <v>20</v>
      </c>
      <c r="G101" t="s">
        <v>21</v>
      </c>
      <c r="H101" s="1">
        <v>8743</v>
      </c>
      <c r="I101" s="1">
        <v>13255</v>
      </c>
      <c r="J101" s="1">
        <v>18660</v>
      </c>
      <c r="K101" s="1">
        <f t="shared" si="5"/>
        <v>728.58333333333337</v>
      </c>
      <c r="L101" s="1">
        <f t="shared" si="5"/>
        <v>1104.5833333333333</v>
      </c>
      <c r="M101" s="1">
        <f t="shared" si="5"/>
        <v>1555</v>
      </c>
      <c r="N101" t="str">
        <f t="shared" si="3"/>
        <v>BRETAGNE|35 - Ille-et-Vilaine|Rennes Métropole</v>
      </c>
      <c r="O101" s="1" t="str">
        <f t="shared" si="4"/>
        <v>Province</v>
      </c>
    </row>
    <row r="102" spans="1:15" x14ac:dyDescent="0.25">
      <c r="A102" s="1" t="s">
        <v>209</v>
      </c>
      <c r="B102" t="s">
        <v>250</v>
      </c>
      <c r="C102" t="s">
        <v>251</v>
      </c>
      <c r="D102" t="s">
        <v>252</v>
      </c>
      <c r="E102" t="s">
        <v>253</v>
      </c>
      <c r="F102" t="s">
        <v>20</v>
      </c>
      <c r="G102" t="s">
        <v>21</v>
      </c>
      <c r="H102" s="1">
        <v>12048</v>
      </c>
      <c r="I102" s="1">
        <v>16216</v>
      </c>
      <c r="J102" s="1">
        <v>20132</v>
      </c>
      <c r="K102" s="1">
        <f t="shared" si="5"/>
        <v>1004</v>
      </c>
      <c r="L102" s="1">
        <f t="shared" si="5"/>
        <v>1351.3333333333333</v>
      </c>
      <c r="M102" s="1">
        <f t="shared" si="5"/>
        <v>1677.6666666666667</v>
      </c>
      <c r="N102" t="str">
        <f t="shared" si="3"/>
        <v>BRETAGNE|56 - Morbihan|CA de la Presqu'île de Guérande Atlantique (Cap Atlantique)</v>
      </c>
      <c r="O102" s="1" t="str">
        <f t="shared" si="4"/>
        <v>Province</v>
      </c>
    </row>
    <row r="103" spans="1:15" x14ac:dyDescent="0.25">
      <c r="A103" s="1" t="s">
        <v>209</v>
      </c>
      <c r="B103" t="s">
        <v>250</v>
      </c>
      <c r="C103" t="s">
        <v>251</v>
      </c>
      <c r="D103" t="s">
        <v>254</v>
      </c>
      <c r="E103" t="s">
        <v>255</v>
      </c>
      <c r="F103" t="s">
        <v>20</v>
      </c>
      <c r="G103" t="s">
        <v>21</v>
      </c>
      <c r="H103" s="1">
        <v>10800</v>
      </c>
      <c r="I103" s="1">
        <v>14640</v>
      </c>
      <c r="J103" s="1">
        <v>19490</v>
      </c>
      <c r="K103" s="1">
        <f t="shared" si="5"/>
        <v>900</v>
      </c>
      <c r="L103" s="1">
        <f t="shared" si="5"/>
        <v>1220</v>
      </c>
      <c r="M103" s="1">
        <f t="shared" si="5"/>
        <v>1624.1666666666667</v>
      </c>
      <c r="N103" t="str">
        <f t="shared" si="3"/>
        <v>BRETAGNE|56 - Morbihan|CA Golfe du Morbihan - Vannes Agglomération</v>
      </c>
      <c r="O103" s="1" t="str">
        <f t="shared" si="4"/>
        <v>Province</v>
      </c>
    </row>
    <row r="104" spans="1:15" x14ac:dyDescent="0.25">
      <c r="A104" s="1" t="s">
        <v>209</v>
      </c>
      <c r="B104" t="s">
        <v>250</v>
      </c>
      <c r="C104" t="s">
        <v>251</v>
      </c>
      <c r="D104" t="s">
        <v>256</v>
      </c>
      <c r="E104" t="s">
        <v>257</v>
      </c>
      <c r="F104" t="s">
        <v>20</v>
      </c>
      <c r="G104" t="s">
        <v>21</v>
      </c>
      <c r="H104" s="1">
        <v>10105</v>
      </c>
      <c r="I104" s="1">
        <v>13645</v>
      </c>
      <c r="J104" s="1">
        <v>18756</v>
      </c>
      <c r="K104" s="1">
        <f t="shared" si="5"/>
        <v>842.08333333333337</v>
      </c>
      <c r="L104" s="1">
        <f t="shared" si="5"/>
        <v>1137.0833333333333</v>
      </c>
      <c r="M104" s="1">
        <f t="shared" si="5"/>
        <v>1563</v>
      </c>
      <c r="N104" t="str">
        <f t="shared" si="3"/>
        <v>BRETAGNE|56 - Morbihan|CA Lorient Agglomération</v>
      </c>
      <c r="O104" s="1" t="str">
        <f t="shared" si="4"/>
        <v>Province</v>
      </c>
    </row>
    <row r="105" spans="1:15" x14ac:dyDescent="0.25">
      <c r="A105" s="1" t="s">
        <v>209</v>
      </c>
      <c r="B105" t="s">
        <v>250</v>
      </c>
      <c r="C105" t="s">
        <v>251</v>
      </c>
      <c r="D105" t="s">
        <v>244</v>
      </c>
      <c r="E105" t="s">
        <v>245</v>
      </c>
      <c r="F105" t="s">
        <v>20</v>
      </c>
      <c r="G105" t="s">
        <v>21</v>
      </c>
      <c r="H105" s="1">
        <v>9756</v>
      </c>
      <c r="I105" s="1">
        <v>12388</v>
      </c>
      <c r="J105" s="1">
        <v>16680</v>
      </c>
      <c r="K105" s="1">
        <f t="shared" si="5"/>
        <v>813</v>
      </c>
      <c r="L105" s="1">
        <f t="shared" si="5"/>
        <v>1032.3333333333333</v>
      </c>
      <c r="M105" s="1">
        <f t="shared" si="5"/>
        <v>1390</v>
      </c>
      <c r="N105" t="str">
        <f t="shared" si="3"/>
        <v>BRETAGNE|56 - Morbihan|CA Redon Agglomération</v>
      </c>
      <c r="O105" s="1" t="str">
        <f t="shared" si="4"/>
        <v>Province</v>
      </c>
    </row>
    <row r="106" spans="1:15" x14ac:dyDescent="0.25">
      <c r="A106" s="1" t="s">
        <v>209</v>
      </c>
      <c r="B106" t="s">
        <v>250</v>
      </c>
      <c r="C106" t="s">
        <v>251</v>
      </c>
      <c r="D106" t="s">
        <v>258</v>
      </c>
      <c r="E106" t="s">
        <v>259</v>
      </c>
      <c r="F106" t="s">
        <v>20</v>
      </c>
      <c r="G106" t="s">
        <v>21</v>
      </c>
      <c r="H106" s="1">
        <v>10894</v>
      </c>
      <c r="I106" s="1">
        <v>14720</v>
      </c>
      <c r="J106" s="1">
        <v>19380</v>
      </c>
      <c r="K106" s="1">
        <f t="shared" si="5"/>
        <v>907.83333333333337</v>
      </c>
      <c r="L106" s="1">
        <f t="shared" si="5"/>
        <v>1226.6666666666667</v>
      </c>
      <c r="M106" s="1">
        <f t="shared" si="5"/>
        <v>1615</v>
      </c>
      <c r="N106" t="str">
        <f t="shared" si="3"/>
        <v>BRETAGNE|56 - Morbihan|CC Auray Quiberon Terre Atlantique</v>
      </c>
      <c r="O106" s="1" t="str">
        <f t="shared" si="4"/>
        <v>Province</v>
      </c>
    </row>
    <row r="107" spans="1:15" x14ac:dyDescent="0.25">
      <c r="A107" s="1" t="s">
        <v>209</v>
      </c>
      <c r="B107" t="s">
        <v>250</v>
      </c>
      <c r="C107" t="s">
        <v>251</v>
      </c>
      <c r="D107" t="s">
        <v>222</v>
      </c>
      <c r="E107" t="s">
        <v>223</v>
      </c>
      <c r="F107" t="s">
        <v>20</v>
      </c>
      <c r="G107" t="s">
        <v>21</v>
      </c>
      <c r="H107" s="1">
        <v>9826</v>
      </c>
      <c r="I107" s="1">
        <v>12906</v>
      </c>
      <c r="J107" s="1">
        <v>17400</v>
      </c>
      <c r="K107" s="1">
        <f t="shared" si="5"/>
        <v>818.83333333333337</v>
      </c>
      <c r="L107" s="1">
        <f t="shared" si="5"/>
        <v>1075.5</v>
      </c>
      <c r="M107" s="1">
        <f t="shared" si="5"/>
        <v>1450</v>
      </c>
      <c r="N107" t="str">
        <f t="shared" si="3"/>
        <v>BRETAGNE|56 - Morbihan|CC Pontivy Communauté</v>
      </c>
      <c r="O107" s="1" t="str">
        <f t="shared" si="4"/>
        <v>Province</v>
      </c>
    </row>
    <row r="108" spans="1:15" x14ac:dyDescent="0.25">
      <c r="A108" s="1" t="s">
        <v>209</v>
      </c>
      <c r="B108" t="s">
        <v>250</v>
      </c>
      <c r="C108" t="s">
        <v>251</v>
      </c>
      <c r="D108" t="s">
        <v>260</v>
      </c>
      <c r="E108" t="s">
        <v>261</v>
      </c>
      <c r="F108" t="s">
        <v>20</v>
      </c>
      <c r="G108" t="s">
        <v>21</v>
      </c>
      <c r="H108" s="1">
        <v>8930</v>
      </c>
      <c r="I108" s="1">
        <v>12296</v>
      </c>
      <c r="J108" s="1">
        <v>16649</v>
      </c>
      <c r="K108" s="1">
        <f t="shared" si="5"/>
        <v>744.16666666666663</v>
      </c>
      <c r="L108" s="1">
        <f t="shared" si="5"/>
        <v>1024.6666666666667</v>
      </c>
      <c r="M108" s="1">
        <f t="shared" si="5"/>
        <v>1387.4166666666667</v>
      </c>
      <c r="N108" t="str">
        <f t="shared" si="3"/>
        <v>BRETAGNE|56 - Morbihan|Ploërmel Communauté</v>
      </c>
      <c r="O108" s="1" t="str">
        <f t="shared" si="4"/>
        <v>Province</v>
      </c>
    </row>
    <row r="109" spans="1:15" x14ac:dyDescent="0.25">
      <c r="A109" s="1" t="s">
        <v>262</v>
      </c>
      <c r="B109" t="s">
        <v>263</v>
      </c>
      <c r="C109" t="s">
        <v>264</v>
      </c>
      <c r="D109" t="s">
        <v>265</v>
      </c>
      <c r="E109" t="s">
        <v>266</v>
      </c>
      <c r="F109" t="s">
        <v>20</v>
      </c>
      <c r="G109" t="s">
        <v>21</v>
      </c>
      <c r="H109" s="1">
        <v>8712</v>
      </c>
      <c r="I109" s="1">
        <v>12408</v>
      </c>
      <c r="J109" s="1">
        <v>17407</v>
      </c>
      <c r="K109" s="1">
        <f t="shared" si="5"/>
        <v>726</v>
      </c>
      <c r="L109" s="1">
        <f t="shared" si="5"/>
        <v>1034</v>
      </c>
      <c r="M109" s="1">
        <f t="shared" si="5"/>
        <v>1450.5833333333333</v>
      </c>
      <c r="N109" t="str">
        <f t="shared" si="3"/>
        <v>CENTRE-VAL DE LOIRE|18 - Cher|CA Bourges Plus</v>
      </c>
      <c r="O109" s="1" t="str">
        <f t="shared" si="4"/>
        <v>Province</v>
      </c>
    </row>
    <row r="110" spans="1:15" x14ac:dyDescent="0.25">
      <c r="A110" s="1" t="s">
        <v>262</v>
      </c>
      <c r="B110" t="s">
        <v>263</v>
      </c>
      <c r="C110" t="s">
        <v>264</v>
      </c>
      <c r="D110" t="s">
        <v>267</v>
      </c>
      <c r="E110" t="s">
        <v>268</v>
      </c>
      <c r="F110" t="s">
        <v>20</v>
      </c>
      <c r="G110" t="s">
        <v>21</v>
      </c>
      <c r="H110" s="1">
        <v>8876</v>
      </c>
      <c r="I110" s="1">
        <v>12780</v>
      </c>
      <c r="J110" s="1">
        <v>17670</v>
      </c>
      <c r="K110" s="1">
        <f t="shared" si="5"/>
        <v>739.66666666666663</v>
      </c>
      <c r="L110" s="1">
        <f t="shared" si="5"/>
        <v>1065</v>
      </c>
      <c r="M110" s="1">
        <f t="shared" si="5"/>
        <v>1472.5</v>
      </c>
      <c r="N110" t="str">
        <f t="shared" si="3"/>
        <v>CENTRE-VAL DE LOIRE|18 - Cher|CC Coeur de France</v>
      </c>
      <c r="O110" s="1" t="str">
        <f t="shared" si="4"/>
        <v>Province</v>
      </c>
    </row>
    <row r="111" spans="1:15" x14ac:dyDescent="0.25">
      <c r="A111" s="1" t="s">
        <v>262</v>
      </c>
      <c r="B111" t="s">
        <v>263</v>
      </c>
      <c r="C111" t="s">
        <v>264</v>
      </c>
      <c r="D111" t="s">
        <v>269</v>
      </c>
      <c r="E111" t="s">
        <v>270</v>
      </c>
      <c r="F111" t="s">
        <v>20</v>
      </c>
      <c r="G111" t="s">
        <v>21</v>
      </c>
      <c r="H111" s="1">
        <v>8292</v>
      </c>
      <c r="I111" s="1">
        <v>12144</v>
      </c>
      <c r="J111" s="1">
        <v>16272</v>
      </c>
      <c r="K111" s="1">
        <f t="shared" si="5"/>
        <v>691</v>
      </c>
      <c r="L111" s="1">
        <f t="shared" si="5"/>
        <v>1012</v>
      </c>
      <c r="M111" s="1">
        <f t="shared" si="5"/>
        <v>1356</v>
      </c>
      <c r="N111" t="str">
        <f t="shared" si="3"/>
        <v>CENTRE-VAL DE LOIRE|18 - Cher|CC Vierzon-Sologne-Berry</v>
      </c>
      <c r="O111" s="1" t="str">
        <f t="shared" si="4"/>
        <v>Province</v>
      </c>
    </row>
    <row r="112" spans="1:15" x14ac:dyDescent="0.25">
      <c r="A112" s="1" t="s">
        <v>262</v>
      </c>
      <c r="B112" t="s">
        <v>271</v>
      </c>
      <c r="C112" t="s">
        <v>272</v>
      </c>
      <c r="D112" t="s">
        <v>273</v>
      </c>
      <c r="E112" t="s">
        <v>274</v>
      </c>
      <c r="F112" t="s">
        <v>20</v>
      </c>
      <c r="G112" t="s">
        <v>21</v>
      </c>
      <c r="H112" s="1">
        <v>9502</v>
      </c>
      <c r="I112" s="1">
        <v>13758</v>
      </c>
      <c r="J112" s="1">
        <v>18670</v>
      </c>
      <c r="K112" s="1">
        <f t="shared" si="5"/>
        <v>791.83333333333337</v>
      </c>
      <c r="L112" s="1">
        <f t="shared" si="5"/>
        <v>1146.5</v>
      </c>
      <c r="M112" s="1">
        <f t="shared" si="5"/>
        <v>1555.8333333333333</v>
      </c>
      <c r="N112" t="str">
        <f t="shared" si="3"/>
        <v>CENTRE-VAL DE LOIRE|28 - Eure-et-Loir|CA Agglo du Pays de Dreux</v>
      </c>
      <c r="O112" s="1" t="str">
        <f t="shared" si="4"/>
        <v>Province</v>
      </c>
    </row>
    <row r="113" spans="1:15" x14ac:dyDescent="0.25">
      <c r="A113" s="1" t="s">
        <v>262</v>
      </c>
      <c r="B113" t="s">
        <v>271</v>
      </c>
      <c r="C113" t="s">
        <v>272</v>
      </c>
      <c r="D113" t="s">
        <v>275</v>
      </c>
      <c r="E113" t="s">
        <v>276</v>
      </c>
      <c r="F113" t="s">
        <v>20</v>
      </c>
      <c r="G113" t="s">
        <v>21</v>
      </c>
      <c r="H113" s="1">
        <v>10560</v>
      </c>
      <c r="I113" s="1">
        <v>15060</v>
      </c>
      <c r="J113" s="1">
        <v>20056</v>
      </c>
      <c r="K113" s="1">
        <f t="shared" si="5"/>
        <v>880</v>
      </c>
      <c r="L113" s="1">
        <f t="shared" si="5"/>
        <v>1255</v>
      </c>
      <c r="M113" s="1">
        <f t="shared" si="5"/>
        <v>1671.3333333333333</v>
      </c>
      <c r="N113" t="str">
        <f t="shared" si="3"/>
        <v>CENTRE-VAL DE LOIRE|28 - Eure-et-Loir|CA Chartres Métropole</v>
      </c>
      <c r="O113" s="1" t="str">
        <f t="shared" si="4"/>
        <v>Province</v>
      </c>
    </row>
    <row r="114" spans="1:15" x14ac:dyDescent="0.25">
      <c r="A114" s="1" t="s">
        <v>262</v>
      </c>
      <c r="B114" t="s">
        <v>271</v>
      </c>
      <c r="C114" t="s">
        <v>272</v>
      </c>
      <c r="D114" t="s">
        <v>277</v>
      </c>
      <c r="E114" t="s">
        <v>278</v>
      </c>
      <c r="F114" t="s">
        <v>20</v>
      </c>
      <c r="G114" t="s">
        <v>21</v>
      </c>
      <c r="H114" s="1">
        <v>8061</v>
      </c>
      <c r="I114" s="1">
        <v>12352</v>
      </c>
      <c r="J114" s="1">
        <v>17754</v>
      </c>
      <c r="K114" s="1">
        <f t="shared" si="5"/>
        <v>671.75</v>
      </c>
      <c r="L114" s="1">
        <f t="shared" si="5"/>
        <v>1029.3333333333333</v>
      </c>
      <c r="M114" s="1">
        <f t="shared" si="5"/>
        <v>1479.5</v>
      </c>
      <c r="N114" t="str">
        <f t="shared" si="3"/>
        <v>CENTRE-VAL DE LOIRE|28 - Eure-et-Loir|CC du Grand Châteaudun</v>
      </c>
      <c r="O114" s="1" t="str">
        <f t="shared" si="4"/>
        <v>Province</v>
      </c>
    </row>
    <row r="115" spans="1:15" x14ac:dyDescent="0.25">
      <c r="A115" s="1" t="s">
        <v>262</v>
      </c>
      <c r="B115" t="s">
        <v>271</v>
      </c>
      <c r="C115" t="s">
        <v>272</v>
      </c>
      <c r="D115" t="s">
        <v>279</v>
      </c>
      <c r="E115" t="s">
        <v>280</v>
      </c>
      <c r="F115" t="s">
        <v>20</v>
      </c>
      <c r="G115" t="s">
        <v>21</v>
      </c>
      <c r="H115" s="1">
        <v>8230</v>
      </c>
      <c r="I115" s="1">
        <v>12192</v>
      </c>
      <c r="J115" s="1">
        <v>16105</v>
      </c>
      <c r="K115" s="1">
        <f t="shared" si="5"/>
        <v>685.83333333333337</v>
      </c>
      <c r="L115" s="1">
        <f t="shared" si="5"/>
        <v>1016</v>
      </c>
      <c r="M115" s="1">
        <f t="shared" si="5"/>
        <v>1342.0833333333333</v>
      </c>
      <c r="N115" t="str">
        <f t="shared" si="3"/>
        <v>CENTRE-VAL DE LOIRE|28 - Eure-et-Loir|CC du Perche</v>
      </c>
      <c r="O115" s="1" t="str">
        <f t="shared" si="4"/>
        <v>Province</v>
      </c>
    </row>
    <row r="116" spans="1:15" x14ac:dyDescent="0.25">
      <c r="A116" s="1" t="s">
        <v>262</v>
      </c>
      <c r="B116" t="s">
        <v>281</v>
      </c>
      <c r="C116" t="s">
        <v>282</v>
      </c>
      <c r="D116" t="s">
        <v>283</v>
      </c>
      <c r="E116" t="s">
        <v>284</v>
      </c>
      <c r="F116" t="s">
        <v>20</v>
      </c>
      <c r="G116" t="s">
        <v>21</v>
      </c>
      <c r="H116" s="1">
        <v>8880</v>
      </c>
      <c r="I116" s="1">
        <v>13200</v>
      </c>
      <c r="J116" s="1">
        <v>18528</v>
      </c>
      <c r="K116" s="1">
        <f t="shared" si="5"/>
        <v>740</v>
      </c>
      <c r="L116" s="1">
        <f t="shared" si="5"/>
        <v>1100</v>
      </c>
      <c r="M116" s="1">
        <f t="shared" si="5"/>
        <v>1544</v>
      </c>
      <c r="N116" t="str">
        <f t="shared" si="3"/>
        <v>CENTRE-VAL DE LOIRE|36 - Indre|CA Châteauroux Métropole</v>
      </c>
      <c r="O116" s="1" t="str">
        <f t="shared" si="4"/>
        <v>Province</v>
      </c>
    </row>
    <row r="117" spans="1:15" x14ac:dyDescent="0.25">
      <c r="A117" s="1" t="s">
        <v>262</v>
      </c>
      <c r="B117" t="s">
        <v>285</v>
      </c>
      <c r="C117" t="s">
        <v>286</v>
      </c>
      <c r="D117" t="s">
        <v>287</v>
      </c>
      <c r="E117" t="s">
        <v>288</v>
      </c>
      <c r="F117" t="s">
        <v>20</v>
      </c>
      <c r="G117" t="s">
        <v>21</v>
      </c>
      <c r="H117" s="1">
        <v>10608</v>
      </c>
      <c r="I117" s="1">
        <v>14773</v>
      </c>
      <c r="J117" s="1">
        <v>19668</v>
      </c>
      <c r="K117" s="1">
        <f t="shared" si="5"/>
        <v>884</v>
      </c>
      <c r="L117" s="1">
        <f t="shared" si="5"/>
        <v>1231.0833333333333</v>
      </c>
      <c r="M117" s="1">
        <f t="shared" si="5"/>
        <v>1639</v>
      </c>
      <c r="N117" t="str">
        <f t="shared" si="3"/>
        <v>CENTRE-VAL DE LOIRE|37 - Indre-et-Loire|CC du Val d'Amboise</v>
      </c>
      <c r="O117" s="1" t="str">
        <f t="shared" si="4"/>
        <v>Province</v>
      </c>
    </row>
    <row r="118" spans="1:15" x14ac:dyDescent="0.25">
      <c r="A118" s="1" t="s">
        <v>262</v>
      </c>
      <c r="B118" t="s">
        <v>285</v>
      </c>
      <c r="C118" t="s">
        <v>286</v>
      </c>
      <c r="D118" t="s">
        <v>289</v>
      </c>
      <c r="E118" t="s">
        <v>290</v>
      </c>
      <c r="F118" t="s">
        <v>20</v>
      </c>
      <c r="G118" t="s">
        <v>21</v>
      </c>
      <c r="H118" s="1">
        <v>11769</v>
      </c>
      <c r="I118" s="1">
        <v>16352</v>
      </c>
      <c r="J118" s="1">
        <v>20472</v>
      </c>
      <c r="K118" s="1">
        <f t="shared" si="5"/>
        <v>980.75</v>
      </c>
      <c r="L118" s="1">
        <f t="shared" si="5"/>
        <v>1362.6666666666667</v>
      </c>
      <c r="M118" s="1">
        <f t="shared" si="5"/>
        <v>1706</v>
      </c>
      <c r="N118" t="str">
        <f t="shared" si="3"/>
        <v>CENTRE-VAL DE LOIRE|37 - Indre-et-Loire|CC Touraine-Est Vallées</v>
      </c>
      <c r="O118" s="1" t="str">
        <f t="shared" si="4"/>
        <v>Province</v>
      </c>
    </row>
    <row r="119" spans="1:15" x14ac:dyDescent="0.25">
      <c r="A119" s="1" t="s">
        <v>262</v>
      </c>
      <c r="B119" t="s">
        <v>285</v>
      </c>
      <c r="C119" t="s">
        <v>286</v>
      </c>
      <c r="D119" t="s">
        <v>291</v>
      </c>
      <c r="E119" t="s">
        <v>292</v>
      </c>
      <c r="F119" t="s">
        <v>20</v>
      </c>
      <c r="G119" t="s">
        <v>21</v>
      </c>
      <c r="H119" s="1">
        <v>10049</v>
      </c>
      <c r="I119" s="1">
        <v>14136</v>
      </c>
      <c r="J119" s="1">
        <v>19404</v>
      </c>
      <c r="K119" s="1">
        <f t="shared" si="5"/>
        <v>837.41666666666663</v>
      </c>
      <c r="L119" s="1">
        <f t="shared" si="5"/>
        <v>1178</v>
      </c>
      <c r="M119" s="1">
        <f t="shared" si="5"/>
        <v>1617</v>
      </c>
      <c r="N119" t="str">
        <f t="shared" si="3"/>
        <v>CENTRE-VAL DE LOIRE|37 - Indre-et-Loire|Tours Métropole Val de Loire</v>
      </c>
      <c r="O119" s="1" t="str">
        <f t="shared" si="4"/>
        <v>Province</v>
      </c>
    </row>
    <row r="120" spans="1:15" x14ac:dyDescent="0.25">
      <c r="A120" s="1" t="s">
        <v>262</v>
      </c>
      <c r="B120" t="s">
        <v>293</v>
      </c>
      <c r="C120" t="s">
        <v>294</v>
      </c>
      <c r="D120" t="s">
        <v>295</v>
      </c>
      <c r="E120" t="s">
        <v>296</v>
      </c>
      <c r="F120" t="s">
        <v>20</v>
      </c>
      <c r="G120" t="s">
        <v>21</v>
      </c>
      <c r="H120" s="1">
        <v>9535</v>
      </c>
      <c r="I120" s="1">
        <v>13388</v>
      </c>
      <c r="J120" s="1">
        <v>18669</v>
      </c>
      <c r="K120" s="1">
        <f t="shared" si="5"/>
        <v>794.58333333333337</v>
      </c>
      <c r="L120" s="1">
        <f t="shared" si="5"/>
        <v>1115.6666666666667</v>
      </c>
      <c r="M120" s="1">
        <f t="shared" si="5"/>
        <v>1555.75</v>
      </c>
      <c r="N120" t="str">
        <f t="shared" si="3"/>
        <v>CENTRE-VAL DE LOIRE|41 - Loir-et-Cher|CA de Blois ''Agglopolys''</v>
      </c>
      <c r="O120" s="1" t="str">
        <f t="shared" si="4"/>
        <v>Province</v>
      </c>
    </row>
    <row r="121" spans="1:15" x14ac:dyDescent="0.25">
      <c r="A121" s="1" t="s">
        <v>262</v>
      </c>
      <c r="B121" t="s">
        <v>293</v>
      </c>
      <c r="C121" t="s">
        <v>294</v>
      </c>
      <c r="D121" t="s">
        <v>297</v>
      </c>
      <c r="E121" t="s">
        <v>298</v>
      </c>
      <c r="F121" t="s">
        <v>20</v>
      </c>
      <c r="G121" t="s">
        <v>21</v>
      </c>
      <c r="H121" s="1">
        <v>8832</v>
      </c>
      <c r="I121" s="1">
        <v>13011</v>
      </c>
      <c r="J121" s="1">
        <v>17730</v>
      </c>
      <c r="K121" s="1">
        <f t="shared" si="5"/>
        <v>736</v>
      </c>
      <c r="L121" s="1">
        <f t="shared" si="5"/>
        <v>1084.25</v>
      </c>
      <c r="M121" s="1">
        <f t="shared" si="5"/>
        <v>1477.5</v>
      </c>
      <c r="N121" t="str">
        <f t="shared" si="3"/>
        <v>CENTRE-VAL DE LOIRE|41 - Loir-et-Cher|CA Territoires Vendômois</v>
      </c>
      <c r="O121" s="1" t="str">
        <f t="shared" si="4"/>
        <v>Province</v>
      </c>
    </row>
    <row r="122" spans="1:15" x14ac:dyDescent="0.25">
      <c r="A122" s="1" t="s">
        <v>262</v>
      </c>
      <c r="B122" t="s">
        <v>293</v>
      </c>
      <c r="C122" t="s">
        <v>294</v>
      </c>
      <c r="D122" t="s">
        <v>299</v>
      </c>
      <c r="E122" t="s">
        <v>300</v>
      </c>
      <c r="F122" t="s">
        <v>20</v>
      </c>
      <c r="G122" t="s">
        <v>21</v>
      </c>
      <c r="H122" s="1">
        <v>9120</v>
      </c>
      <c r="I122" s="1">
        <v>12340</v>
      </c>
      <c r="J122" s="1">
        <v>17886</v>
      </c>
      <c r="K122" s="1">
        <f t="shared" si="5"/>
        <v>760</v>
      </c>
      <c r="L122" s="1">
        <f t="shared" si="5"/>
        <v>1028.3333333333333</v>
      </c>
      <c r="M122" s="1">
        <f t="shared" si="5"/>
        <v>1490.5</v>
      </c>
      <c r="N122" t="str">
        <f t="shared" si="3"/>
        <v>CENTRE-VAL DE LOIRE|41 - Loir-et-Cher|CC du Romorantinais et du Monestois</v>
      </c>
      <c r="O122" s="1" t="str">
        <f t="shared" si="4"/>
        <v>Province</v>
      </c>
    </row>
    <row r="123" spans="1:15" x14ac:dyDescent="0.25">
      <c r="A123" s="1" t="s">
        <v>262</v>
      </c>
      <c r="B123" t="s">
        <v>301</v>
      </c>
      <c r="C123" t="s">
        <v>302</v>
      </c>
      <c r="D123" t="s">
        <v>303</v>
      </c>
      <c r="E123" t="s">
        <v>304</v>
      </c>
      <c r="F123" t="s">
        <v>20</v>
      </c>
      <c r="G123" t="s">
        <v>21</v>
      </c>
      <c r="H123" s="1">
        <v>8301</v>
      </c>
      <c r="I123" s="1">
        <v>12768</v>
      </c>
      <c r="J123" s="1">
        <v>17610</v>
      </c>
      <c r="K123" s="1">
        <f t="shared" si="5"/>
        <v>691.75</v>
      </c>
      <c r="L123" s="1">
        <f t="shared" si="5"/>
        <v>1064</v>
      </c>
      <c r="M123" s="1">
        <f t="shared" si="5"/>
        <v>1467.5</v>
      </c>
      <c r="N123" t="str">
        <f t="shared" si="3"/>
        <v>CENTRE-VAL DE LOIRE|45 - Loiret|CA Montargoise et Rives du Loing (AME)</v>
      </c>
      <c r="O123" s="1" t="str">
        <f t="shared" si="4"/>
        <v>Province</v>
      </c>
    </row>
    <row r="124" spans="1:15" x14ac:dyDescent="0.25">
      <c r="A124" s="1" t="s">
        <v>262</v>
      </c>
      <c r="B124" t="s">
        <v>301</v>
      </c>
      <c r="C124" t="s">
        <v>302</v>
      </c>
      <c r="D124" t="s">
        <v>305</v>
      </c>
      <c r="E124" t="s">
        <v>306</v>
      </c>
      <c r="F124" t="s">
        <v>20</v>
      </c>
      <c r="G124" t="s">
        <v>21</v>
      </c>
      <c r="H124" s="1">
        <v>9144</v>
      </c>
      <c r="I124" s="1">
        <v>12800</v>
      </c>
      <c r="J124" s="1">
        <v>17520</v>
      </c>
      <c r="K124" s="1">
        <f t="shared" si="5"/>
        <v>762</v>
      </c>
      <c r="L124" s="1">
        <f t="shared" si="5"/>
        <v>1066.6666666666667</v>
      </c>
      <c r="M124" s="1">
        <f t="shared" si="5"/>
        <v>1460</v>
      </c>
      <c r="N124" t="str">
        <f t="shared" si="3"/>
        <v>CENTRE-VAL DE LOIRE|45 - Loiret|CC du Pithiverais</v>
      </c>
      <c r="O124" s="1" t="str">
        <f t="shared" si="4"/>
        <v>Province</v>
      </c>
    </row>
    <row r="125" spans="1:15" x14ac:dyDescent="0.25">
      <c r="A125" s="1" t="s">
        <v>262</v>
      </c>
      <c r="B125" t="s">
        <v>301</v>
      </c>
      <c r="C125" t="s">
        <v>302</v>
      </c>
      <c r="D125" t="s">
        <v>307</v>
      </c>
      <c r="E125" t="s">
        <v>308</v>
      </c>
      <c r="F125" t="s">
        <v>20</v>
      </c>
      <c r="G125" t="s">
        <v>21</v>
      </c>
      <c r="H125" s="1">
        <v>10679</v>
      </c>
      <c r="I125" s="1">
        <v>14557</v>
      </c>
      <c r="J125" s="1">
        <v>19173</v>
      </c>
      <c r="K125" s="1">
        <f t="shared" si="5"/>
        <v>889.91666666666663</v>
      </c>
      <c r="L125" s="1">
        <f t="shared" si="5"/>
        <v>1213.0833333333333</v>
      </c>
      <c r="M125" s="1">
        <f t="shared" si="5"/>
        <v>1597.75</v>
      </c>
      <c r="N125" t="str">
        <f t="shared" si="3"/>
        <v>CENTRE-VAL DE LOIRE|45 - Loiret|CC du Val de Sully</v>
      </c>
      <c r="O125" s="1" t="str">
        <f t="shared" si="4"/>
        <v>Province</v>
      </c>
    </row>
    <row r="126" spans="1:15" x14ac:dyDescent="0.25">
      <c r="A126" s="1" t="s">
        <v>262</v>
      </c>
      <c r="B126" t="s">
        <v>301</v>
      </c>
      <c r="C126" t="s">
        <v>302</v>
      </c>
      <c r="D126" t="s">
        <v>309</v>
      </c>
      <c r="E126" t="s">
        <v>310</v>
      </c>
      <c r="F126" t="s">
        <v>20</v>
      </c>
      <c r="G126" t="s">
        <v>21</v>
      </c>
      <c r="H126" s="1">
        <v>8765</v>
      </c>
      <c r="I126" s="1">
        <v>12726</v>
      </c>
      <c r="J126" s="1">
        <v>17364</v>
      </c>
      <c r="K126" s="1">
        <f t="shared" si="5"/>
        <v>730.41666666666663</v>
      </c>
      <c r="L126" s="1">
        <f t="shared" si="5"/>
        <v>1060.5</v>
      </c>
      <c r="M126" s="1">
        <f t="shared" si="5"/>
        <v>1447</v>
      </c>
      <c r="N126" t="str">
        <f t="shared" si="3"/>
        <v>CENTRE-VAL DE LOIRE|45 - Loiret|CC Giennoises</v>
      </c>
      <c r="O126" s="1" t="str">
        <f t="shared" si="4"/>
        <v>Province</v>
      </c>
    </row>
    <row r="127" spans="1:15" x14ac:dyDescent="0.25">
      <c r="A127" s="1" t="s">
        <v>262</v>
      </c>
      <c r="B127" t="s">
        <v>301</v>
      </c>
      <c r="C127" t="s">
        <v>302</v>
      </c>
      <c r="D127" t="s">
        <v>311</v>
      </c>
      <c r="E127" t="s">
        <v>312</v>
      </c>
      <c r="F127" t="s">
        <v>20</v>
      </c>
      <c r="G127" t="s">
        <v>21</v>
      </c>
      <c r="H127" s="1">
        <v>10347</v>
      </c>
      <c r="I127" s="1">
        <v>14631</v>
      </c>
      <c r="J127" s="1">
        <v>19584</v>
      </c>
      <c r="K127" s="1">
        <f t="shared" si="5"/>
        <v>862.25</v>
      </c>
      <c r="L127" s="1">
        <f t="shared" si="5"/>
        <v>1219.25</v>
      </c>
      <c r="M127" s="1">
        <f t="shared" si="5"/>
        <v>1632</v>
      </c>
      <c r="N127" t="str">
        <f t="shared" si="3"/>
        <v>CENTRE-VAL DE LOIRE|45 - Loiret|Orléans Métropole</v>
      </c>
      <c r="O127" s="1" t="str">
        <f t="shared" si="4"/>
        <v>Province</v>
      </c>
    </row>
    <row r="128" spans="1:15" x14ac:dyDescent="0.25">
      <c r="A128" s="1" t="s">
        <v>313</v>
      </c>
      <c r="B128" t="s">
        <v>314</v>
      </c>
      <c r="C128" t="s">
        <v>315</v>
      </c>
      <c r="D128" t="s">
        <v>316</v>
      </c>
      <c r="E128" t="s">
        <v>317</v>
      </c>
      <c r="F128" t="s">
        <v>20</v>
      </c>
      <c r="G128" t="s">
        <v>21</v>
      </c>
      <c r="H128" s="1">
        <v>11077</v>
      </c>
      <c r="I128" s="1">
        <v>14703</v>
      </c>
      <c r="J128" s="1">
        <v>19644</v>
      </c>
      <c r="K128" s="1">
        <f t="shared" si="5"/>
        <v>923.08333333333337</v>
      </c>
      <c r="L128" s="1">
        <f t="shared" si="5"/>
        <v>1225.25</v>
      </c>
      <c r="M128" s="1">
        <f t="shared" si="5"/>
        <v>1637</v>
      </c>
      <c r="N128" t="str">
        <f t="shared" si="3"/>
        <v>CORSE|2A - Corse-du-Sud|CA du Pays Ajaccien</v>
      </c>
      <c r="O128" s="1" t="str">
        <f t="shared" si="4"/>
        <v>Province</v>
      </c>
    </row>
    <row r="129" spans="1:15" x14ac:dyDescent="0.25">
      <c r="A129" s="1" t="s">
        <v>313</v>
      </c>
      <c r="B129" t="s">
        <v>314</v>
      </c>
      <c r="C129" t="s">
        <v>315</v>
      </c>
      <c r="D129" t="s">
        <v>318</v>
      </c>
      <c r="E129" t="s">
        <v>319</v>
      </c>
      <c r="F129" t="s">
        <v>20</v>
      </c>
      <c r="G129" t="s">
        <v>21</v>
      </c>
      <c r="H129" s="1">
        <v>9936</v>
      </c>
      <c r="I129" s="1">
        <v>12933</v>
      </c>
      <c r="J129" s="1">
        <v>17280</v>
      </c>
      <c r="K129" s="1">
        <f t="shared" si="5"/>
        <v>828</v>
      </c>
      <c r="L129" s="1">
        <f t="shared" si="5"/>
        <v>1077.75</v>
      </c>
      <c r="M129" s="1">
        <f t="shared" si="5"/>
        <v>1440</v>
      </c>
      <c r="N129" t="str">
        <f t="shared" si="3"/>
        <v>CORSE|2A - Corse-du-Sud|CC du Sud Corse</v>
      </c>
      <c r="O129" s="1" t="str">
        <f t="shared" si="4"/>
        <v>Province</v>
      </c>
    </row>
    <row r="130" spans="1:15" x14ac:dyDescent="0.25">
      <c r="A130" s="1" t="s">
        <v>313</v>
      </c>
      <c r="B130" t="s">
        <v>320</v>
      </c>
      <c r="C130" t="s">
        <v>321</v>
      </c>
      <c r="D130" t="s">
        <v>322</v>
      </c>
      <c r="E130" t="s">
        <v>323</v>
      </c>
      <c r="F130" t="s">
        <v>20</v>
      </c>
      <c r="G130" t="s">
        <v>21</v>
      </c>
      <c r="H130" s="1">
        <v>10204</v>
      </c>
      <c r="I130" s="1">
        <v>12720</v>
      </c>
      <c r="J130" s="1">
        <v>17568</v>
      </c>
      <c r="K130" s="1">
        <f t="shared" si="5"/>
        <v>850.33333333333337</v>
      </c>
      <c r="L130" s="1">
        <f t="shared" si="5"/>
        <v>1060</v>
      </c>
      <c r="M130" s="1">
        <f t="shared" si="5"/>
        <v>1464</v>
      </c>
      <c r="N130" t="str">
        <f t="shared" ref="N130:N193" si="6">SUBSTITUTE(
   UPPER(SUBSTITUTE(TRIM(A130), CHAR(160), " ")) &amp; "|" &amp;
   SUBSTITUTE(TRIM(C130), CHAR(160), " ") &amp; "|" &amp;
   SUBSTITUTE(TRIM(D130), CHAR(160), " "),
   "–", "-"
)</f>
        <v>CORSE|2B - Haute-Corse|CA de Bastia</v>
      </c>
      <c r="O130" s="1" t="str">
        <f t="shared" ref="O130:O193" si="7">IF(A130="Hauts-de-France", "HDF",
IF(A130="Île-de-France", "IDF",
IF(OR(A130="Guadeloupe", A130="Martinique", A130="Guyane", A130="La Réunion", A130="Mayotte"), "OM", "Province")))</f>
        <v>Province</v>
      </c>
    </row>
    <row r="131" spans="1:15" x14ac:dyDescent="0.25">
      <c r="A131" s="1" t="s">
        <v>324</v>
      </c>
      <c r="B131" t="s">
        <v>325</v>
      </c>
      <c r="C131" t="s">
        <v>326</v>
      </c>
      <c r="D131" t="s">
        <v>327</v>
      </c>
      <c r="E131" t="s">
        <v>328</v>
      </c>
      <c r="F131" t="s">
        <v>20</v>
      </c>
      <c r="G131" t="s">
        <v>21</v>
      </c>
      <c r="H131" s="1">
        <v>8802</v>
      </c>
      <c r="I131" s="1">
        <v>12828</v>
      </c>
      <c r="J131" s="1">
        <v>18368</v>
      </c>
      <c r="K131" s="1">
        <f t="shared" ref="K131:M194" si="8">H131/12</f>
        <v>733.5</v>
      </c>
      <c r="L131" s="1">
        <f t="shared" si="8"/>
        <v>1069</v>
      </c>
      <c r="M131" s="1">
        <f t="shared" si="8"/>
        <v>1530.6666666666667</v>
      </c>
      <c r="N131" t="str">
        <f t="shared" si="6"/>
        <v>GRAND EST|08 - Ardennes|Ardenne Métropole</v>
      </c>
      <c r="O131" s="1" t="str">
        <f t="shared" si="7"/>
        <v>Province</v>
      </c>
    </row>
    <row r="132" spans="1:15" x14ac:dyDescent="0.25">
      <c r="A132" s="1" t="s">
        <v>324</v>
      </c>
      <c r="B132" t="s">
        <v>325</v>
      </c>
      <c r="C132" t="s">
        <v>326</v>
      </c>
      <c r="D132" t="s">
        <v>329</v>
      </c>
      <c r="E132" t="s">
        <v>330</v>
      </c>
      <c r="F132" t="s">
        <v>20</v>
      </c>
      <c r="G132" t="s">
        <v>21</v>
      </c>
      <c r="H132" s="1">
        <v>10304</v>
      </c>
      <c r="I132" s="1">
        <v>14592</v>
      </c>
      <c r="J132" s="1">
        <v>20049</v>
      </c>
      <c r="K132" s="1">
        <f t="shared" si="8"/>
        <v>858.66666666666663</v>
      </c>
      <c r="L132" s="1">
        <f t="shared" si="8"/>
        <v>1216</v>
      </c>
      <c r="M132" s="1">
        <f t="shared" si="8"/>
        <v>1670.75</v>
      </c>
      <c r="N132" t="str">
        <f t="shared" si="6"/>
        <v>GRAND EST|08 - Ardennes|CC du Pays Rethélois</v>
      </c>
      <c r="O132" s="1" t="str">
        <f t="shared" si="7"/>
        <v>Province</v>
      </c>
    </row>
    <row r="133" spans="1:15" x14ac:dyDescent="0.25">
      <c r="A133" s="1" t="s">
        <v>324</v>
      </c>
      <c r="B133" t="s">
        <v>331</v>
      </c>
      <c r="C133" t="s">
        <v>332</v>
      </c>
      <c r="D133" t="s">
        <v>333</v>
      </c>
      <c r="E133" t="s">
        <v>334</v>
      </c>
      <c r="F133" t="s">
        <v>20</v>
      </c>
      <c r="G133" t="s">
        <v>21</v>
      </c>
      <c r="H133" s="1">
        <v>8808</v>
      </c>
      <c r="I133" s="1">
        <v>13113</v>
      </c>
      <c r="J133" s="1">
        <v>18734</v>
      </c>
      <c r="K133" s="1">
        <f t="shared" si="8"/>
        <v>734</v>
      </c>
      <c r="L133" s="1">
        <f t="shared" si="8"/>
        <v>1092.75</v>
      </c>
      <c r="M133" s="1">
        <f t="shared" si="8"/>
        <v>1561.1666666666667</v>
      </c>
      <c r="N133" t="str">
        <f t="shared" si="6"/>
        <v>GRAND EST|10 - Aube|CA Troyes Champagne Métropole</v>
      </c>
      <c r="O133" s="1" t="str">
        <f t="shared" si="7"/>
        <v>Province</v>
      </c>
    </row>
    <row r="134" spans="1:15" x14ac:dyDescent="0.25">
      <c r="A134" s="1" t="s">
        <v>324</v>
      </c>
      <c r="B134" t="s">
        <v>331</v>
      </c>
      <c r="C134" t="s">
        <v>332</v>
      </c>
      <c r="D134" t="s">
        <v>335</v>
      </c>
      <c r="E134" t="s">
        <v>336</v>
      </c>
      <c r="F134" t="s">
        <v>20</v>
      </c>
      <c r="G134" t="s">
        <v>21</v>
      </c>
      <c r="H134" s="1">
        <v>8206</v>
      </c>
      <c r="I134" s="1">
        <v>12262</v>
      </c>
      <c r="J134" s="1">
        <v>17945</v>
      </c>
      <c r="K134" s="1">
        <f t="shared" si="8"/>
        <v>683.83333333333337</v>
      </c>
      <c r="L134" s="1">
        <f t="shared" si="8"/>
        <v>1021.8333333333334</v>
      </c>
      <c r="M134" s="1">
        <f t="shared" si="8"/>
        <v>1495.4166666666667</v>
      </c>
      <c r="N134" t="str">
        <f t="shared" si="6"/>
        <v>GRAND EST|10 - Aube|CC des Portes de Romilly sur Seine</v>
      </c>
      <c r="O134" s="1" t="str">
        <f t="shared" si="7"/>
        <v>Province</v>
      </c>
    </row>
    <row r="135" spans="1:15" x14ac:dyDescent="0.25">
      <c r="A135" s="1" t="s">
        <v>324</v>
      </c>
      <c r="B135" t="s">
        <v>337</v>
      </c>
      <c r="C135" t="s">
        <v>338</v>
      </c>
      <c r="D135" t="s">
        <v>339</v>
      </c>
      <c r="E135" t="s">
        <v>340</v>
      </c>
      <c r="F135" t="s">
        <v>20</v>
      </c>
      <c r="G135" t="s">
        <v>21</v>
      </c>
      <c r="H135" s="1">
        <v>9792</v>
      </c>
      <c r="I135" s="1">
        <v>14400</v>
      </c>
      <c r="J135" s="1">
        <v>20053</v>
      </c>
      <c r="K135" s="1">
        <f t="shared" si="8"/>
        <v>816</v>
      </c>
      <c r="L135" s="1">
        <f t="shared" si="8"/>
        <v>1200</v>
      </c>
      <c r="M135" s="1">
        <f t="shared" si="8"/>
        <v>1671.0833333333333</v>
      </c>
      <c r="N135" t="str">
        <f t="shared" si="6"/>
        <v>GRAND EST|51 - Marne|CA de Châlons-en-Champagne</v>
      </c>
      <c r="O135" s="1" t="str">
        <f t="shared" si="7"/>
        <v>Province</v>
      </c>
    </row>
    <row r="136" spans="1:15" x14ac:dyDescent="0.25">
      <c r="A136" s="1" t="s">
        <v>324</v>
      </c>
      <c r="B136" t="s">
        <v>337</v>
      </c>
      <c r="C136" t="s">
        <v>338</v>
      </c>
      <c r="D136" t="s">
        <v>341</v>
      </c>
      <c r="E136" t="s">
        <v>342</v>
      </c>
      <c r="F136" t="s">
        <v>20</v>
      </c>
      <c r="G136" t="s">
        <v>21</v>
      </c>
      <c r="H136" s="1">
        <v>10033</v>
      </c>
      <c r="I136" s="1">
        <v>13488</v>
      </c>
      <c r="J136" s="1">
        <v>19400</v>
      </c>
      <c r="K136" s="1">
        <f t="shared" si="8"/>
        <v>836.08333333333337</v>
      </c>
      <c r="L136" s="1">
        <f t="shared" si="8"/>
        <v>1124</v>
      </c>
      <c r="M136" s="1">
        <f t="shared" si="8"/>
        <v>1616.6666666666667</v>
      </c>
      <c r="N136" t="str">
        <f t="shared" si="6"/>
        <v>GRAND EST|51 - Marne|CA du Grand Saint-Dizier Der et Vallées</v>
      </c>
      <c r="O136" s="1" t="str">
        <f t="shared" si="7"/>
        <v>Province</v>
      </c>
    </row>
    <row r="137" spans="1:15" x14ac:dyDescent="0.25">
      <c r="A137" s="1" t="s">
        <v>324</v>
      </c>
      <c r="B137" t="s">
        <v>337</v>
      </c>
      <c r="C137" t="s">
        <v>338</v>
      </c>
      <c r="D137" t="s">
        <v>343</v>
      </c>
      <c r="E137" t="s">
        <v>344</v>
      </c>
      <c r="F137" t="s">
        <v>20</v>
      </c>
      <c r="G137" t="s">
        <v>21</v>
      </c>
      <c r="H137" s="1">
        <v>10800</v>
      </c>
      <c r="I137" s="1">
        <v>14724</v>
      </c>
      <c r="J137" s="1">
        <v>19545</v>
      </c>
      <c r="K137" s="1">
        <f t="shared" si="8"/>
        <v>900</v>
      </c>
      <c r="L137" s="1">
        <f t="shared" si="8"/>
        <v>1227</v>
      </c>
      <c r="M137" s="1">
        <f t="shared" si="8"/>
        <v>1628.75</v>
      </c>
      <c r="N137" t="str">
        <f t="shared" si="6"/>
        <v>GRAND EST|51 - Marne|CA Epernay, Coteaux et Plaine de Champagne</v>
      </c>
      <c r="O137" s="1" t="str">
        <f t="shared" si="7"/>
        <v>Province</v>
      </c>
    </row>
    <row r="138" spans="1:15" x14ac:dyDescent="0.25">
      <c r="A138" s="1" t="s">
        <v>324</v>
      </c>
      <c r="B138" t="s">
        <v>337</v>
      </c>
      <c r="C138" t="s">
        <v>338</v>
      </c>
      <c r="D138" t="s">
        <v>345</v>
      </c>
      <c r="E138" t="s">
        <v>346</v>
      </c>
      <c r="F138" t="s">
        <v>20</v>
      </c>
      <c r="G138" t="s">
        <v>21</v>
      </c>
      <c r="H138" s="1">
        <v>10906</v>
      </c>
      <c r="I138" s="1">
        <v>14400</v>
      </c>
      <c r="J138" s="1">
        <v>19200</v>
      </c>
      <c r="K138" s="1">
        <f t="shared" si="8"/>
        <v>908.83333333333337</v>
      </c>
      <c r="L138" s="1">
        <f t="shared" si="8"/>
        <v>1200</v>
      </c>
      <c r="M138" s="1">
        <f t="shared" si="8"/>
        <v>1600</v>
      </c>
      <c r="N138" t="str">
        <f t="shared" si="6"/>
        <v>GRAND EST|51 - Marne|CC de Vitry, Champagne et Der</v>
      </c>
      <c r="O138" s="1" t="str">
        <f t="shared" si="7"/>
        <v>Province</v>
      </c>
    </row>
    <row r="139" spans="1:15" x14ac:dyDescent="0.25">
      <c r="A139" s="1" t="s">
        <v>324</v>
      </c>
      <c r="B139" t="s">
        <v>337</v>
      </c>
      <c r="C139" t="s">
        <v>338</v>
      </c>
      <c r="D139" t="s">
        <v>347</v>
      </c>
      <c r="E139" t="s">
        <v>348</v>
      </c>
      <c r="F139" t="s">
        <v>20</v>
      </c>
      <c r="G139" t="s">
        <v>21</v>
      </c>
      <c r="H139" s="1">
        <v>10064</v>
      </c>
      <c r="I139" s="1">
        <v>14799</v>
      </c>
      <c r="J139" s="1">
        <v>20308</v>
      </c>
      <c r="K139" s="1">
        <f t="shared" si="8"/>
        <v>838.66666666666663</v>
      </c>
      <c r="L139" s="1">
        <f t="shared" si="8"/>
        <v>1233.25</v>
      </c>
      <c r="M139" s="1">
        <f t="shared" si="8"/>
        <v>1692.3333333333333</v>
      </c>
      <c r="N139" t="str">
        <f t="shared" si="6"/>
        <v>GRAND EST|51 - Marne|CU du Grand Reims</v>
      </c>
      <c r="O139" s="1" t="str">
        <f t="shared" si="7"/>
        <v>Province</v>
      </c>
    </row>
    <row r="140" spans="1:15" x14ac:dyDescent="0.25">
      <c r="A140" s="1" t="s">
        <v>324</v>
      </c>
      <c r="B140" t="s">
        <v>349</v>
      </c>
      <c r="C140" t="s">
        <v>350</v>
      </c>
      <c r="D140" t="s">
        <v>351</v>
      </c>
      <c r="E140" t="s">
        <v>352</v>
      </c>
      <c r="F140" t="s">
        <v>20</v>
      </c>
      <c r="G140" t="s">
        <v>21</v>
      </c>
      <c r="H140" s="1">
        <v>10004</v>
      </c>
      <c r="I140" s="1">
        <v>14525</v>
      </c>
      <c r="J140" s="1">
        <v>19424</v>
      </c>
      <c r="K140" s="1">
        <f t="shared" si="8"/>
        <v>833.66666666666663</v>
      </c>
      <c r="L140" s="1">
        <f t="shared" si="8"/>
        <v>1210.4166666666667</v>
      </c>
      <c r="M140" s="1">
        <f t="shared" si="8"/>
        <v>1618.6666666666667</v>
      </c>
      <c r="N140" t="str">
        <f t="shared" si="6"/>
        <v>GRAND EST|52 - Haute-Marne|CA de Chaumont</v>
      </c>
      <c r="O140" s="1" t="str">
        <f t="shared" si="7"/>
        <v>Province</v>
      </c>
    </row>
    <row r="141" spans="1:15" x14ac:dyDescent="0.25">
      <c r="A141" s="1" t="s">
        <v>324</v>
      </c>
      <c r="B141" t="s">
        <v>349</v>
      </c>
      <c r="C141" t="s">
        <v>350</v>
      </c>
      <c r="D141" t="s">
        <v>341</v>
      </c>
      <c r="E141" t="s">
        <v>342</v>
      </c>
      <c r="F141" t="s">
        <v>20</v>
      </c>
      <c r="G141" t="s">
        <v>21</v>
      </c>
      <c r="H141" s="1">
        <v>10033</v>
      </c>
      <c r="I141" s="1">
        <v>13488</v>
      </c>
      <c r="J141" s="1">
        <v>19400</v>
      </c>
      <c r="K141" s="1">
        <f t="shared" si="8"/>
        <v>836.08333333333337</v>
      </c>
      <c r="L141" s="1">
        <f t="shared" si="8"/>
        <v>1124</v>
      </c>
      <c r="M141" s="1">
        <f t="shared" si="8"/>
        <v>1616.6666666666667</v>
      </c>
      <c r="N141" t="str">
        <f t="shared" si="6"/>
        <v>GRAND EST|52 - Haute-Marne|CA du Grand Saint-Dizier Der et Vallées</v>
      </c>
      <c r="O141" s="1" t="str">
        <f t="shared" si="7"/>
        <v>Province</v>
      </c>
    </row>
    <row r="142" spans="1:15" x14ac:dyDescent="0.25">
      <c r="A142" s="1" t="s">
        <v>324</v>
      </c>
      <c r="B142" t="s">
        <v>349</v>
      </c>
      <c r="C142" t="s">
        <v>350</v>
      </c>
      <c r="D142" t="s">
        <v>353</v>
      </c>
      <c r="E142" t="s">
        <v>354</v>
      </c>
      <c r="F142" t="s">
        <v>20</v>
      </c>
      <c r="G142" t="s">
        <v>21</v>
      </c>
      <c r="H142" s="1">
        <v>10881</v>
      </c>
      <c r="I142" s="1">
        <v>13569</v>
      </c>
      <c r="J142" s="1">
        <v>18167</v>
      </c>
      <c r="K142" s="1">
        <f t="shared" si="8"/>
        <v>906.75</v>
      </c>
      <c r="L142" s="1">
        <f t="shared" si="8"/>
        <v>1130.75</v>
      </c>
      <c r="M142" s="1">
        <f t="shared" si="8"/>
        <v>1513.9166666666667</v>
      </c>
      <c r="N142" t="str">
        <f t="shared" si="6"/>
        <v>GRAND EST|52 - Haute-Marne|CC du Grand Langres</v>
      </c>
      <c r="O142" s="1" t="str">
        <f t="shared" si="7"/>
        <v>Province</v>
      </c>
    </row>
    <row r="143" spans="1:15" x14ac:dyDescent="0.25">
      <c r="A143" s="1" t="s">
        <v>324</v>
      </c>
      <c r="B143" t="s">
        <v>355</v>
      </c>
      <c r="C143" t="s">
        <v>356</v>
      </c>
      <c r="D143" t="s">
        <v>357</v>
      </c>
      <c r="E143" t="s">
        <v>358</v>
      </c>
      <c r="F143" t="s">
        <v>20</v>
      </c>
      <c r="G143" t="s">
        <v>21</v>
      </c>
      <c r="H143" s="1">
        <v>8688</v>
      </c>
      <c r="I143" s="1">
        <v>12279</v>
      </c>
      <c r="J143" s="1">
        <v>17109</v>
      </c>
      <c r="K143" s="1">
        <f t="shared" si="8"/>
        <v>724</v>
      </c>
      <c r="L143" s="1">
        <f t="shared" si="8"/>
        <v>1023.25</v>
      </c>
      <c r="M143" s="1">
        <f t="shared" si="8"/>
        <v>1425.75</v>
      </c>
      <c r="N143" t="str">
        <f t="shared" si="6"/>
        <v>GRAND EST|54 - Meurthe-et-Moselle|CA de Saint-Dié-des-Vosges</v>
      </c>
      <c r="O143" s="1" t="str">
        <f t="shared" si="7"/>
        <v>Province</v>
      </c>
    </row>
    <row r="144" spans="1:15" x14ac:dyDescent="0.25">
      <c r="A144" s="1" t="s">
        <v>324</v>
      </c>
      <c r="B144" t="s">
        <v>355</v>
      </c>
      <c r="C144" t="s">
        <v>356</v>
      </c>
      <c r="D144" t="s">
        <v>359</v>
      </c>
      <c r="E144" t="s">
        <v>360</v>
      </c>
      <c r="F144" t="s">
        <v>20</v>
      </c>
      <c r="G144" t="s">
        <v>21</v>
      </c>
      <c r="H144" s="1">
        <v>9632</v>
      </c>
      <c r="I144" s="1">
        <v>13658</v>
      </c>
      <c r="J144" s="1">
        <v>18816</v>
      </c>
      <c r="K144" s="1">
        <f t="shared" si="8"/>
        <v>802.66666666666663</v>
      </c>
      <c r="L144" s="1">
        <f t="shared" si="8"/>
        <v>1138.1666666666667</v>
      </c>
      <c r="M144" s="1">
        <f t="shared" si="8"/>
        <v>1568</v>
      </c>
      <c r="N144" t="str">
        <f t="shared" si="6"/>
        <v>GRAND EST|54 - Meurthe-et-Moselle|CC du Bassin de Pompey</v>
      </c>
      <c r="O144" s="1" t="str">
        <f t="shared" si="7"/>
        <v>Province</v>
      </c>
    </row>
    <row r="145" spans="1:15" x14ac:dyDescent="0.25">
      <c r="A145" s="1" t="s">
        <v>324</v>
      </c>
      <c r="B145" t="s">
        <v>355</v>
      </c>
      <c r="C145" t="s">
        <v>356</v>
      </c>
      <c r="D145" t="s">
        <v>361</v>
      </c>
      <c r="E145" t="s">
        <v>362</v>
      </c>
      <c r="F145" t="s">
        <v>20</v>
      </c>
      <c r="G145" t="s">
        <v>21</v>
      </c>
      <c r="H145" s="1">
        <v>9156</v>
      </c>
      <c r="I145" s="1">
        <v>13600</v>
      </c>
      <c r="J145" s="1">
        <v>18783</v>
      </c>
      <c r="K145" s="1">
        <f t="shared" si="8"/>
        <v>763</v>
      </c>
      <c r="L145" s="1">
        <f t="shared" si="8"/>
        <v>1133.3333333333333</v>
      </c>
      <c r="M145" s="1">
        <f t="shared" si="8"/>
        <v>1565.25</v>
      </c>
      <c r="N145" t="str">
        <f t="shared" si="6"/>
        <v>GRAND EST|54 - Meurthe-et-Moselle|CC du Bassin de Pont-à-Mousson</v>
      </c>
      <c r="O145" s="1" t="str">
        <f t="shared" si="7"/>
        <v>Province</v>
      </c>
    </row>
    <row r="146" spans="1:15" x14ac:dyDescent="0.25">
      <c r="A146" s="1" t="s">
        <v>324</v>
      </c>
      <c r="B146" t="s">
        <v>355</v>
      </c>
      <c r="C146" t="s">
        <v>356</v>
      </c>
      <c r="D146" t="s">
        <v>363</v>
      </c>
      <c r="E146" t="s">
        <v>364</v>
      </c>
      <c r="F146" t="s">
        <v>20</v>
      </c>
      <c r="G146" t="s">
        <v>21</v>
      </c>
      <c r="H146" s="1">
        <v>7867</v>
      </c>
      <c r="I146" s="1">
        <v>11811</v>
      </c>
      <c r="J146" s="1">
        <v>16032</v>
      </c>
      <c r="K146" s="1">
        <f t="shared" si="8"/>
        <v>655.58333333333337</v>
      </c>
      <c r="L146" s="1">
        <f t="shared" si="8"/>
        <v>984.25</v>
      </c>
      <c r="M146" s="1">
        <f t="shared" si="8"/>
        <v>1336</v>
      </c>
      <c r="N146" t="str">
        <f t="shared" si="6"/>
        <v>GRAND EST|54 - Meurthe-et-Moselle|CC du Territoire de Lunéville à Baccarat</v>
      </c>
      <c r="O146" s="1" t="str">
        <f t="shared" si="7"/>
        <v>Province</v>
      </c>
    </row>
    <row r="147" spans="1:15" x14ac:dyDescent="0.25">
      <c r="A147" s="1" t="s">
        <v>324</v>
      </c>
      <c r="B147" t="s">
        <v>355</v>
      </c>
      <c r="C147" t="s">
        <v>356</v>
      </c>
      <c r="D147" t="s">
        <v>365</v>
      </c>
      <c r="E147" t="s">
        <v>366</v>
      </c>
      <c r="F147" t="s">
        <v>20</v>
      </c>
      <c r="G147" t="s">
        <v>21</v>
      </c>
      <c r="H147" s="1">
        <v>9229</v>
      </c>
      <c r="I147" s="1">
        <v>13200</v>
      </c>
      <c r="J147" s="1">
        <v>17538</v>
      </c>
      <c r="K147" s="1">
        <f t="shared" si="8"/>
        <v>769.08333333333337</v>
      </c>
      <c r="L147" s="1">
        <f t="shared" si="8"/>
        <v>1100</v>
      </c>
      <c r="M147" s="1">
        <f t="shared" si="8"/>
        <v>1461.5</v>
      </c>
      <c r="N147" t="str">
        <f t="shared" si="6"/>
        <v>GRAND EST|54 - Meurthe-et-Moselle|CC Terres Touloises</v>
      </c>
      <c r="O147" s="1" t="str">
        <f t="shared" si="7"/>
        <v>Province</v>
      </c>
    </row>
    <row r="148" spans="1:15" x14ac:dyDescent="0.25">
      <c r="A148" s="1" t="s">
        <v>324</v>
      </c>
      <c r="B148" t="s">
        <v>355</v>
      </c>
      <c r="C148" t="s">
        <v>356</v>
      </c>
      <c r="D148" t="s">
        <v>367</v>
      </c>
      <c r="E148" t="s">
        <v>368</v>
      </c>
      <c r="F148" t="s">
        <v>20</v>
      </c>
      <c r="G148" t="s">
        <v>21</v>
      </c>
      <c r="H148" s="1">
        <v>9437</v>
      </c>
      <c r="I148" s="1">
        <v>14172</v>
      </c>
      <c r="J148" s="1">
        <v>20164</v>
      </c>
      <c r="K148" s="1">
        <f t="shared" si="8"/>
        <v>786.41666666666663</v>
      </c>
      <c r="L148" s="1">
        <f t="shared" si="8"/>
        <v>1181</v>
      </c>
      <c r="M148" s="1">
        <f t="shared" si="8"/>
        <v>1680.3333333333333</v>
      </c>
      <c r="N148" t="str">
        <f t="shared" si="6"/>
        <v>GRAND EST|54 - Meurthe-et-Moselle|Grand Longwy Agglomération</v>
      </c>
      <c r="O148" s="1" t="str">
        <f t="shared" si="7"/>
        <v>Province</v>
      </c>
    </row>
    <row r="149" spans="1:15" x14ac:dyDescent="0.25">
      <c r="A149" s="1" t="s">
        <v>324</v>
      </c>
      <c r="B149" t="s">
        <v>355</v>
      </c>
      <c r="C149" t="s">
        <v>356</v>
      </c>
      <c r="D149" t="s">
        <v>369</v>
      </c>
      <c r="E149" t="s">
        <v>370</v>
      </c>
      <c r="F149" t="s">
        <v>20</v>
      </c>
      <c r="G149" t="s">
        <v>21</v>
      </c>
      <c r="H149" s="1">
        <v>8896</v>
      </c>
      <c r="I149" s="1">
        <v>13173</v>
      </c>
      <c r="J149" s="1">
        <v>18600</v>
      </c>
      <c r="K149" s="1">
        <f t="shared" si="8"/>
        <v>741.33333333333337</v>
      </c>
      <c r="L149" s="1">
        <f t="shared" si="8"/>
        <v>1097.75</v>
      </c>
      <c r="M149" s="1">
        <f t="shared" si="8"/>
        <v>1550</v>
      </c>
      <c r="N149" t="str">
        <f t="shared" si="6"/>
        <v>GRAND EST|54 - Meurthe-et-Moselle|Métropole du Grand Nancy</v>
      </c>
      <c r="O149" s="1" t="str">
        <f t="shared" si="7"/>
        <v>Province</v>
      </c>
    </row>
    <row r="150" spans="1:15" x14ac:dyDescent="0.25">
      <c r="A150" s="1" t="s">
        <v>324</v>
      </c>
      <c r="B150" t="s">
        <v>371</v>
      </c>
      <c r="C150" t="s">
        <v>372</v>
      </c>
      <c r="D150" t="s">
        <v>373</v>
      </c>
      <c r="E150" t="s">
        <v>374</v>
      </c>
      <c r="F150" t="s">
        <v>20</v>
      </c>
      <c r="G150" t="s">
        <v>21</v>
      </c>
      <c r="H150" s="1">
        <v>8872</v>
      </c>
      <c r="I150" s="1">
        <v>13232</v>
      </c>
      <c r="J150" s="1">
        <v>18636</v>
      </c>
      <c r="K150" s="1">
        <f t="shared" si="8"/>
        <v>739.33333333333337</v>
      </c>
      <c r="L150" s="1">
        <f t="shared" si="8"/>
        <v>1102.6666666666667</v>
      </c>
      <c r="M150" s="1">
        <f t="shared" si="8"/>
        <v>1553</v>
      </c>
      <c r="N150" t="str">
        <f t="shared" si="6"/>
        <v>GRAND EST|55 - Meuse|CA de Bar-le-Duc - Sud Meuse</v>
      </c>
      <c r="O150" s="1" t="str">
        <f t="shared" si="7"/>
        <v>Province</v>
      </c>
    </row>
    <row r="151" spans="1:15" x14ac:dyDescent="0.25">
      <c r="A151" s="1" t="s">
        <v>324</v>
      </c>
      <c r="B151" t="s">
        <v>371</v>
      </c>
      <c r="C151" t="s">
        <v>372</v>
      </c>
      <c r="D151" t="s">
        <v>375</v>
      </c>
      <c r="E151" t="s">
        <v>376</v>
      </c>
      <c r="F151" t="s">
        <v>20</v>
      </c>
      <c r="G151" t="s">
        <v>21</v>
      </c>
      <c r="H151" s="1">
        <v>7660</v>
      </c>
      <c r="I151" s="1">
        <v>11652</v>
      </c>
      <c r="J151" s="1">
        <v>16374</v>
      </c>
      <c r="K151" s="1">
        <f t="shared" si="8"/>
        <v>638.33333333333337</v>
      </c>
      <c r="L151" s="1">
        <f t="shared" si="8"/>
        <v>971</v>
      </c>
      <c r="M151" s="1">
        <f t="shared" si="8"/>
        <v>1364.5</v>
      </c>
      <c r="N151" t="str">
        <f t="shared" si="6"/>
        <v>GRAND EST|55 - Meuse|CA du Grand Verdun</v>
      </c>
      <c r="O151" s="1" t="str">
        <f t="shared" si="7"/>
        <v>Province</v>
      </c>
    </row>
    <row r="152" spans="1:15" x14ac:dyDescent="0.25">
      <c r="A152" s="1" t="s">
        <v>324</v>
      </c>
      <c r="B152" t="s">
        <v>377</v>
      </c>
      <c r="C152" t="s">
        <v>378</v>
      </c>
      <c r="D152" t="s">
        <v>379</v>
      </c>
      <c r="E152" t="s">
        <v>380</v>
      </c>
      <c r="F152" t="s">
        <v>20</v>
      </c>
      <c r="G152" t="s">
        <v>21</v>
      </c>
      <c r="H152" s="1">
        <v>7712</v>
      </c>
      <c r="I152" s="1">
        <v>11652</v>
      </c>
      <c r="J152" s="1">
        <v>16119</v>
      </c>
      <c r="K152" s="1">
        <f t="shared" si="8"/>
        <v>642.66666666666663</v>
      </c>
      <c r="L152" s="1">
        <f t="shared" si="8"/>
        <v>971</v>
      </c>
      <c r="M152" s="1">
        <f t="shared" si="8"/>
        <v>1343.25</v>
      </c>
      <c r="N152" t="str">
        <f t="shared" si="6"/>
        <v>GRAND EST|57 - Moselle|CA de Forbach Porte de France</v>
      </c>
      <c r="O152" s="1" t="str">
        <f t="shared" si="7"/>
        <v>Province</v>
      </c>
    </row>
    <row r="153" spans="1:15" x14ac:dyDescent="0.25">
      <c r="A153" s="1" t="s">
        <v>324</v>
      </c>
      <c r="B153" t="s">
        <v>377</v>
      </c>
      <c r="C153" t="s">
        <v>378</v>
      </c>
      <c r="D153" t="s">
        <v>381</v>
      </c>
      <c r="E153" t="s">
        <v>382</v>
      </c>
      <c r="F153" t="s">
        <v>20</v>
      </c>
      <c r="G153" t="s">
        <v>21</v>
      </c>
      <c r="H153" s="1">
        <v>9944</v>
      </c>
      <c r="I153" s="1">
        <v>14400</v>
      </c>
      <c r="J153" s="1">
        <v>19500</v>
      </c>
      <c r="K153" s="1">
        <f t="shared" si="8"/>
        <v>828.66666666666663</v>
      </c>
      <c r="L153" s="1">
        <f t="shared" si="8"/>
        <v>1200</v>
      </c>
      <c r="M153" s="1">
        <f t="shared" si="8"/>
        <v>1625</v>
      </c>
      <c r="N153" t="str">
        <f t="shared" si="6"/>
        <v>GRAND EST|57 - Moselle|CA du Val de Fensch</v>
      </c>
      <c r="O153" s="1" t="str">
        <f t="shared" si="7"/>
        <v>Province</v>
      </c>
    </row>
    <row r="154" spans="1:15" x14ac:dyDescent="0.25">
      <c r="A154" s="1" t="s">
        <v>324</v>
      </c>
      <c r="B154" t="s">
        <v>377</v>
      </c>
      <c r="C154" t="s">
        <v>378</v>
      </c>
      <c r="D154" t="s">
        <v>383</v>
      </c>
      <c r="E154" t="s">
        <v>384</v>
      </c>
      <c r="F154" t="s">
        <v>20</v>
      </c>
      <c r="G154" t="s">
        <v>21</v>
      </c>
      <c r="H154" s="1">
        <v>10188</v>
      </c>
      <c r="I154" s="1">
        <v>14844</v>
      </c>
      <c r="J154" s="1">
        <v>20344</v>
      </c>
      <c r="K154" s="1">
        <f t="shared" si="8"/>
        <v>849</v>
      </c>
      <c r="L154" s="1">
        <f t="shared" si="8"/>
        <v>1237</v>
      </c>
      <c r="M154" s="1">
        <f t="shared" si="8"/>
        <v>1695.3333333333333</v>
      </c>
      <c r="N154" t="str">
        <f t="shared" si="6"/>
        <v>GRAND EST|57 - Moselle|CA Portes de France-Thionville</v>
      </c>
      <c r="O154" s="1" t="str">
        <f t="shared" si="7"/>
        <v>Province</v>
      </c>
    </row>
    <row r="155" spans="1:15" x14ac:dyDescent="0.25">
      <c r="A155" s="1" t="s">
        <v>324</v>
      </c>
      <c r="B155" t="s">
        <v>377</v>
      </c>
      <c r="C155" t="s">
        <v>378</v>
      </c>
      <c r="D155" t="s">
        <v>385</v>
      </c>
      <c r="E155" t="s">
        <v>386</v>
      </c>
      <c r="F155" t="s">
        <v>20</v>
      </c>
      <c r="G155" t="s">
        <v>21</v>
      </c>
      <c r="H155" s="1">
        <v>8372</v>
      </c>
      <c r="I155" s="1">
        <v>12050</v>
      </c>
      <c r="J155" s="1">
        <v>16800</v>
      </c>
      <c r="K155" s="1">
        <f t="shared" si="8"/>
        <v>697.66666666666663</v>
      </c>
      <c r="L155" s="1">
        <f t="shared" si="8"/>
        <v>1004.1666666666666</v>
      </c>
      <c r="M155" s="1">
        <f t="shared" si="8"/>
        <v>1400</v>
      </c>
      <c r="N155" t="str">
        <f t="shared" si="6"/>
        <v>GRAND EST|57 - Moselle|CA Saint-Avold Synergie</v>
      </c>
      <c r="O155" s="1" t="str">
        <f t="shared" si="7"/>
        <v>Province</v>
      </c>
    </row>
    <row r="156" spans="1:15" x14ac:dyDescent="0.25">
      <c r="A156" s="1" t="s">
        <v>324</v>
      </c>
      <c r="B156" t="s">
        <v>377</v>
      </c>
      <c r="C156" t="s">
        <v>378</v>
      </c>
      <c r="D156" t="s">
        <v>387</v>
      </c>
      <c r="E156" t="s">
        <v>388</v>
      </c>
      <c r="F156" t="s">
        <v>20</v>
      </c>
      <c r="G156" t="s">
        <v>21</v>
      </c>
      <c r="H156" s="1">
        <v>7755</v>
      </c>
      <c r="I156" s="1">
        <v>11652</v>
      </c>
      <c r="J156" s="1">
        <v>15912</v>
      </c>
      <c r="K156" s="1">
        <f t="shared" si="8"/>
        <v>646.25</v>
      </c>
      <c r="L156" s="1">
        <f t="shared" si="8"/>
        <v>971</v>
      </c>
      <c r="M156" s="1">
        <f t="shared" si="8"/>
        <v>1326</v>
      </c>
      <c r="N156" t="str">
        <f t="shared" si="6"/>
        <v>GRAND EST|57 - Moselle|CA Sarreguemines Confluences</v>
      </c>
      <c r="O156" s="1" t="str">
        <f t="shared" si="7"/>
        <v>Province</v>
      </c>
    </row>
    <row r="157" spans="1:15" x14ac:dyDescent="0.25">
      <c r="A157" s="1" t="s">
        <v>324</v>
      </c>
      <c r="B157" t="s">
        <v>377</v>
      </c>
      <c r="C157" t="s">
        <v>378</v>
      </c>
      <c r="D157" t="s">
        <v>389</v>
      </c>
      <c r="E157" t="s">
        <v>390</v>
      </c>
      <c r="F157" t="s">
        <v>20</v>
      </c>
      <c r="G157" t="s">
        <v>21</v>
      </c>
      <c r="H157" s="1">
        <v>8401</v>
      </c>
      <c r="I157" s="1">
        <v>12192</v>
      </c>
      <c r="J157" s="1">
        <v>17364</v>
      </c>
      <c r="K157" s="1">
        <f t="shared" si="8"/>
        <v>700.08333333333337</v>
      </c>
      <c r="L157" s="1">
        <f t="shared" si="8"/>
        <v>1016</v>
      </c>
      <c r="M157" s="1">
        <f t="shared" si="8"/>
        <v>1447</v>
      </c>
      <c r="N157" t="str">
        <f t="shared" si="6"/>
        <v>GRAND EST|57 - Moselle|CC de Freyming-Merlebach</v>
      </c>
      <c r="O157" s="1" t="str">
        <f t="shared" si="7"/>
        <v>Province</v>
      </c>
    </row>
    <row r="158" spans="1:15" x14ac:dyDescent="0.25">
      <c r="A158" s="1" t="s">
        <v>324</v>
      </c>
      <c r="B158" t="s">
        <v>377</v>
      </c>
      <c r="C158" t="s">
        <v>378</v>
      </c>
      <c r="D158" t="s">
        <v>391</v>
      </c>
      <c r="E158" t="s">
        <v>392</v>
      </c>
      <c r="F158" t="s">
        <v>20</v>
      </c>
      <c r="G158" t="s">
        <v>21</v>
      </c>
      <c r="H158" s="1">
        <v>11942</v>
      </c>
      <c r="I158" s="1">
        <v>15770</v>
      </c>
      <c r="J158" s="1">
        <v>20465</v>
      </c>
      <c r="K158" s="1">
        <f t="shared" si="8"/>
        <v>995.16666666666663</v>
      </c>
      <c r="L158" s="1">
        <f t="shared" si="8"/>
        <v>1314.1666666666667</v>
      </c>
      <c r="M158" s="1">
        <f t="shared" si="8"/>
        <v>1705.4166666666667</v>
      </c>
      <c r="N158" t="str">
        <f t="shared" si="6"/>
        <v>GRAND EST|57 - Moselle|CC de l'Arc Mosellan</v>
      </c>
      <c r="O158" s="1" t="str">
        <f t="shared" si="7"/>
        <v>Province</v>
      </c>
    </row>
    <row r="159" spans="1:15" x14ac:dyDescent="0.25">
      <c r="A159" s="1" t="s">
        <v>324</v>
      </c>
      <c r="B159" t="s">
        <v>377</v>
      </c>
      <c r="C159" t="s">
        <v>378</v>
      </c>
      <c r="D159" t="s">
        <v>393</v>
      </c>
      <c r="E159" t="s">
        <v>394</v>
      </c>
      <c r="F159" t="s">
        <v>20</v>
      </c>
      <c r="G159" t="s">
        <v>21</v>
      </c>
      <c r="H159" s="1">
        <v>11028</v>
      </c>
      <c r="I159" s="1">
        <v>15128</v>
      </c>
      <c r="J159" s="1">
        <v>19800</v>
      </c>
      <c r="K159" s="1">
        <f t="shared" si="8"/>
        <v>919</v>
      </c>
      <c r="L159" s="1">
        <f t="shared" si="8"/>
        <v>1260.6666666666667</v>
      </c>
      <c r="M159" s="1">
        <f t="shared" si="8"/>
        <v>1650</v>
      </c>
      <c r="N159" t="str">
        <f t="shared" si="6"/>
        <v>GRAND EST|57 - Moselle|CC du Pays Orne Moselle</v>
      </c>
      <c r="O159" s="1" t="str">
        <f t="shared" si="7"/>
        <v>Province</v>
      </c>
    </row>
    <row r="160" spans="1:15" x14ac:dyDescent="0.25">
      <c r="A160" s="1" t="s">
        <v>324</v>
      </c>
      <c r="B160" t="s">
        <v>377</v>
      </c>
      <c r="C160" t="s">
        <v>378</v>
      </c>
      <c r="D160" t="s">
        <v>395</v>
      </c>
      <c r="E160" t="s">
        <v>396</v>
      </c>
      <c r="F160" t="s">
        <v>20</v>
      </c>
      <c r="G160" t="s">
        <v>21</v>
      </c>
      <c r="H160" s="1">
        <v>8751</v>
      </c>
      <c r="I160" s="1">
        <v>12473</v>
      </c>
      <c r="J160" s="1">
        <v>17779</v>
      </c>
      <c r="K160" s="1">
        <f t="shared" si="8"/>
        <v>729.25</v>
      </c>
      <c r="L160" s="1">
        <f t="shared" si="8"/>
        <v>1039.4166666666667</v>
      </c>
      <c r="M160" s="1">
        <f t="shared" si="8"/>
        <v>1481.5833333333333</v>
      </c>
      <c r="N160" t="str">
        <f t="shared" si="6"/>
        <v>GRAND EST|57 - Moselle|CC du Warndt</v>
      </c>
      <c r="O160" s="1" t="str">
        <f t="shared" si="7"/>
        <v>Province</v>
      </c>
    </row>
    <row r="161" spans="1:15" x14ac:dyDescent="0.25">
      <c r="A161" s="1" t="s">
        <v>324</v>
      </c>
      <c r="B161" t="s">
        <v>377</v>
      </c>
      <c r="C161" t="s">
        <v>378</v>
      </c>
      <c r="D161" t="s">
        <v>397</v>
      </c>
      <c r="E161" t="s">
        <v>398</v>
      </c>
      <c r="F161" t="s">
        <v>20</v>
      </c>
      <c r="G161" t="s">
        <v>21</v>
      </c>
      <c r="H161" s="1">
        <v>11340</v>
      </c>
      <c r="I161" s="1">
        <v>15600</v>
      </c>
      <c r="J161" s="1">
        <v>20400</v>
      </c>
      <c r="K161" s="1">
        <f t="shared" si="8"/>
        <v>945</v>
      </c>
      <c r="L161" s="1">
        <f t="shared" si="8"/>
        <v>1300</v>
      </c>
      <c r="M161" s="1">
        <f t="shared" si="8"/>
        <v>1700</v>
      </c>
      <c r="N161" t="str">
        <f t="shared" si="6"/>
        <v>GRAND EST|57 - Moselle|CC Rives de Moselle</v>
      </c>
      <c r="O161" s="1" t="str">
        <f t="shared" si="7"/>
        <v>Province</v>
      </c>
    </row>
    <row r="162" spans="1:15" x14ac:dyDescent="0.25">
      <c r="A162" s="1" t="s">
        <v>324</v>
      </c>
      <c r="B162" t="s">
        <v>377</v>
      </c>
      <c r="C162" t="s">
        <v>378</v>
      </c>
      <c r="D162" t="s">
        <v>399</v>
      </c>
      <c r="E162" t="s">
        <v>400</v>
      </c>
      <c r="F162" t="s">
        <v>20</v>
      </c>
      <c r="G162" t="s">
        <v>21</v>
      </c>
      <c r="H162" s="1">
        <v>7844</v>
      </c>
      <c r="I162" s="1">
        <v>11851</v>
      </c>
      <c r="J162" s="1">
        <v>15483</v>
      </c>
      <c r="K162" s="1">
        <f t="shared" si="8"/>
        <v>653.66666666666663</v>
      </c>
      <c r="L162" s="1">
        <f t="shared" si="8"/>
        <v>987.58333333333337</v>
      </c>
      <c r="M162" s="1">
        <f t="shared" si="8"/>
        <v>1290.25</v>
      </c>
      <c r="N162" t="str">
        <f t="shared" si="6"/>
        <v>GRAND EST|57 - Moselle|CC Sarrebourg Moselle Sud</v>
      </c>
      <c r="O162" s="1" t="str">
        <f t="shared" si="7"/>
        <v>Province</v>
      </c>
    </row>
    <row r="163" spans="1:15" x14ac:dyDescent="0.25">
      <c r="A163" s="1" t="s">
        <v>324</v>
      </c>
      <c r="B163" t="s">
        <v>377</v>
      </c>
      <c r="C163" t="s">
        <v>378</v>
      </c>
      <c r="D163" t="s">
        <v>401</v>
      </c>
      <c r="E163" t="s">
        <v>402</v>
      </c>
      <c r="F163" t="s">
        <v>20</v>
      </c>
      <c r="G163" t="s">
        <v>21</v>
      </c>
      <c r="H163" s="1">
        <v>9600</v>
      </c>
      <c r="I163" s="1">
        <v>14400</v>
      </c>
      <c r="J163" s="1">
        <v>19692</v>
      </c>
      <c r="K163" s="1">
        <f t="shared" si="8"/>
        <v>800</v>
      </c>
      <c r="L163" s="1">
        <f t="shared" si="8"/>
        <v>1200</v>
      </c>
      <c r="M163" s="1">
        <f t="shared" si="8"/>
        <v>1641</v>
      </c>
      <c r="N163" t="str">
        <f t="shared" si="6"/>
        <v>GRAND EST|57 - Moselle|Metz Métropole</v>
      </c>
      <c r="O163" s="1" t="str">
        <f t="shared" si="7"/>
        <v>Province</v>
      </c>
    </row>
    <row r="164" spans="1:15" x14ac:dyDescent="0.25">
      <c r="A164" s="1" t="s">
        <v>324</v>
      </c>
      <c r="B164" t="s">
        <v>403</v>
      </c>
      <c r="C164" t="s">
        <v>404</v>
      </c>
      <c r="D164" t="s">
        <v>405</v>
      </c>
      <c r="E164" t="s">
        <v>406</v>
      </c>
      <c r="F164" t="s">
        <v>20</v>
      </c>
      <c r="G164" t="s">
        <v>21</v>
      </c>
      <c r="H164" s="1">
        <v>9886</v>
      </c>
      <c r="I164" s="1">
        <v>13980</v>
      </c>
      <c r="J164" s="1">
        <v>18720</v>
      </c>
      <c r="K164" s="1">
        <f t="shared" si="8"/>
        <v>823.83333333333337</v>
      </c>
      <c r="L164" s="1">
        <f t="shared" si="8"/>
        <v>1165</v>
      </c>
      <c r="M164" s="1">
        <f t="shared" si="8"/>
        <v>1560</v>
      </c>
      <c r="N164" t="str">
        <f t="shared" si="6"/>
        <v>GRAND EST|67 - Bas-Rhin|CA de Haguenau</v>
      </c>
      <c r="O164" s="1" t="str">
        <f t="shared" si="7"/>
        <v>Province</v>
      </c>
    </row>
    <row r="165" spans="1:15" x14ac:dyDescent="0.25">
      <c r="A165" s="1" t="s">
        <v>324</v>
      </c>
      <c r="B165" t="s">
        <v>403</v>
      </c>
      <c r="C165" t="s">
        <v>404</v>
      </c>
      <c r="D165" t="s">
        <v>387</v>
      </c>
      <c r="E165" t="s">
        <v>388</v>
      </c>
      <c r="F165" t="s">
        <v>20</v>
      </c>
      <c r="G165" t="s">
        <v>21</v>
      </c>
      <c r="H165" s="1">
        <v>7755</v>
      </c>
      <c r="I165" s="1">
        <v>11652</v>
      </c>
      <c r="J165" s="1">
        <v>15912</v>
      </c>
      <c r="K165" s="1">
        <f t="shared" si="8"/>
        <v>646.25</v>
      </c>
      <c r="L165" s="1">
        <f t="shared" si="8"/>
        <v>971</v>
      </c>
      <c r="M165" s="1">
        <f t="shared" si="8"/>
        <v>1326</v>
      </c>
      <c r="N165" t="str">
        <f t="shared" si="6"/>
        <v>GRAND EST|67 - Bas-Rhin|CA Sarreguemines Confluences</v>
      </c>
      <c r="O165" s="1" t="str">
        <f t="shared" si="7"/>
        <v>Province</v>
      </c>
    </row>
    <row r="166" spans="1:15" x14ac:dyDescent="0.25">
      <c r="A166" s="1" t="s">
        <v>324</v>
      </c>
      <c r="B166" t="s">
        <v>403</v>
      </c>
      <c r="C166" t="s">
        <v>404</v>
      </c>
      <c r="D166" t="s">
        <v>407</v>
      </c>
      <c r="E166" t="s">
        <v>408</v>
      </c>
      <c r="F166" t="s">
        <v>20</v>
      </c>
      <c r="G166" t="s">
        <v>21</v>
      </c>
      <c r="H166" s="1">
        <v>9600</v>
      </c>
      <c r="I166" s="1">
        <v>12895</v>
      </c>
      <c r="J166" s="1">
        <v>18165</v>
      </c>
      <c r="K166" s="1">
        <f t="shared" si="8"/>
        <v>800</v>
      </c>
      <c r="L166" s="1">
        <f t="shared" si="8"/>
        <v>1074.5833333333333</v>
      </c>
      <c r="M166" s="1">
        <f t="shared" si="8"/>
        <v>1513.75</v>
      </c>
      <c r="N166" t="str">
        <f t="shared" si="6"/>
        <v>GRAND EST|67 - Bas-Rhin|CC de Sélestat</v>
      </c>
      <c r="O166" s="1" t="str">
        <f t="shared" si="7"/>
        <v>Province</v>
      </c>
    </row>
    <row r="167" spans="1:15" x14ac:dyDescent="0.25">
      <c r="A167" s="1" t="s">
        <v>324</v>
      </c>
      <c r="B167" t="s">
        <v>403</v>
      </c>
      <c r="C167" t="s">
        <v>404</v>
      </c>
      <c r="D167" t="s">
        <v>409</v>
      </c>
      <c r="E167" t="s">
        <v>410</v>
      </c>
      <c r="F167" t="s">
        <v>20</v>
      </c>
      <c r="G167" t="s">
        <v>21</v>
      </c>
      <c r="H167" s="1">
        <v>10800</v>
      </c>
      <c r="I167" s="1">
        <v>14669</v>
      </c>
      <c r="J167" s="1">
        <v>18951</v>
      </c>
      <c r="K167" s="1">
        <f t="shared" si="8"/>
        <v>900</v>
      </c>
      <c r="L167" s="1">
        <f t="shared" si="8"/>
        <v>1222.4166666666667</v>
      </c>
      <c r="M167" s="1">
        <f t="shared" si="8"/>
        <v>1579.25</v>
      </c>
      <c r="N167" t="str">
        <f t="shared" si="6"/>
        <v>GRAND EST|67 - Bas-Rhin|CC du Canton d'Erstein</v>
      </c>
      <c r="O167" s="1" t="str">
        <f t="shared" si="7"/>
        <v>Province</v>
      </c>
    </row>
    <row r="168" spans="1:15" x14ac:dyDescent="0.25">
      <c r="A168" s="1" t="s">
        <v>324</v>
      </c>
      <c r="B168" t="s">
        <v>403</v>
      </c>
      <c r="C168" t="s">
        <v>404</v>
      </c>
      <c r="D168" t="s">
        <v>411</v>
      </c>
      <c r="E168" t="s">
        <v>412</v>
      </c>
      <c r="F168" t="s">
        <v>20</v>
      </c>
      <c r="G168" t="s">
        <v>21</v>
      </c>
      <c r="H168" s="1">
        <v>9462</v>
      </c>
      <c r="I168" s="1">
        <v>12900</v>
      </c>
      <c r="J168" s="1">
        <v>17558</v>
      </c>
      <c r="K168" s="1">
        <f t="shared" si="8"/>
        <v>788.5</v>
      </c>
      <c r="L168" s="1">
        <f t="shared" si="8"/>
        <v>1075</v>
      </c>
      <c r="M168" s="1">
        <f t="shared" si="8"/>
        <v>1463.1666666666667</v>
      </c>
      <c r="N168" t="str">
        <f t="shared" si="6"/>
        <v>GRAND EST|67 - Bas-Rhin|CC du Pays de Saverne</v>
      </c>
      <c r="O168" s="1" t="str">
        <f t="shared" si="7"/>
        <v>Province</v>
      </c>
    </row>
    <row r="169" spans="1:15" x14ac:dyDescent="0.25">
      <c r="A169" s="1" t="s">
        <v>324</v>
      </c>
      <c r="B169" t="s">
        <v>403</v>
      </c>
      <c r="C169" t="s">
        <v>404</v>
      </c>
      <c r="D169" t="s">
        <v>413</v>
      </c>
      <c r="E169" t="s">
        <v>414</v>
      </c>
      <c r="F169" t="s">
        <v>20</v>
      </c>
      <c r="G169" t="s">
        <v>21</v>
      </c>
      <c r="H169" s="1">
        <v>9547</v>
      </c>
      <c r="I169" s="1">
        <v>13829</v>
      </c>
      <c r="J169" s="1">
        <v>19228</v>
      </c>
      <c r="K169" s="1">
        <f t="shared" si="8"/>
        <v>795.58333333333337</v>
      </c>
      <c r="L169" s="1">
        <f t="shared" si="8"/>
        <v>1152.4166666666667</v>
      </c>
      <c r="M169" s="1">
        <f t="shared" si="8"/>
        <v>1602.3333333333333</v>
      </c>
      <c r="N169" t="str">
        <f t="shared" si="6"/>
        <v>GRAND EST|67 - Bas-Rhin|Eurométropole de Strasbourg</v>
      </c>
      <c r="O169" s="1" t="str">
        <f t="shared" si="7"/>
        <v>Province</v>
      </c>
    </row>
    <row r="170" spans="1:15" x14ac:dyDescent="0.25">
      <c r="A170" s="1" t="s">
        <v>324</v>
      </c>
      <c r="B170" t="s">
        <v>415</v>
      </c>
      <c r="C170" t="s">
        <v>416</v>
      </c>
      <c r="D170" t="s">
        <v>417</v>
      </c>
      <c r="E170" t="s">
        <v>418</v>
      </c>
      <c r="F170" t="s">
        <v>20</v>
      </c>
      <c r="G170" t="s">
        <v>21</v>
      </c>
      <c r="H170" s="1">
        <v>9600</v>
      </c>
      <c r="I170" s="1">
        <v>14047</v>
      </c>
      <c r="J170" s="1">
        <v>19188</v>
      </c>
      <c r="K170" s="1">
        <f t="shared" si="8"/>
        <v>800</v>
      </c>
      <c r="L170" s="1">
        <f t="shared" si="8"/>
        <v>1170.5833333333333</v>
      </c>
      <c r="M170" s="1">
        <f t="shared" si="8"/>
        <v>1599</v>
      </c>
      <c r="N170" t="str">
        <f t="shared" si="6"/>
        <v>GRAND EST|68 - Haut-Rhin|CA Colmar Agglomération</v>
      </c>
      <c r="O170" s="1" t="str">
        <f t="shared" si="7"/>
        <v>Province</v>
      </c>
    </row>
    <row r="171" spans="1:15" x14ac:dyDescent="0.25">
      <c r="A171" s="1" t="s">
        <v>324</v>
      </c>
      <c r="B171" t="s">
        <v>415</v>
      </c>
      <c r="C171" t="s">
        <v>416</v>
      </c>
      <c r="D171" t="s">
        <v>419</v>
      </c>
      <c r="E171" t="s">
        <v>420</v>
      </c>
      <c r="F171" t="s">
        <v>20</v>
      </c>
      <c r="G171" t="s">
        <v>21</v>
      </c>
      <c r="H171" s="1">
        <v>9031</v>
      </c>
      <c r="I171" s="1">
        <v>12900</v>
      </c>
      <c r="J171" s="1">
        <v>18302</v>
      </c>
      <c r="K171" s="1">
        <f t="shared" si="8"/>
        <v>752.58333333333337</v>
      </c>
      <c r="L171" s="1">
        <f t="shared" si="8"/>
        <v>1075</v>
      </c>
      <c r="M171" s="1">
        <f t="shared" si="8"/>
        <v>1525.1666666666667</v>
      </c>
      <c r="N171" t="str">
        <f t="shared" si="6"/>
        <v>GRAND EST|68 - Haut-Rhin|CA Mulhouse Alsace Agglomération</v>
      </c>
      <c r="O171" s="1" t="str">
        <f t="shared" si="7"/>
        <v>Province</v>
      </c>
    </row>
    <row r="172" spans="1:15" x14ac:dyDescent="0.25">
      <c r="A172" s="1" t="s">
        <v>324</v>
      </c>
      <c r="B172" t="s">
        <v>415</v>
      </c>
      <c r="C172" t="s">
        <v>416</v>
      </c>
      <c r="D172" t="s">
        <v>421</v>
      </c>
      <c r="E172" t="s">
        <v>422</v>
      </c>
      <c r="F172" t="s">
        <v>20</v>
      </c>
      <c r="G172" t="s">
        <v>21</v>
      </c>
      <c r="H172" s="1">
        <v>9600</v>
      </c>
      <c r="I172" s="1">
        <v>14214</v>
      </c>
      <c r="J172" s="1">
        <v>20142</v>
      </c>
      <c r="K172" s="1">
        <f t="shared" si="8"/>
        <v>800</v>
      </c>
      <c r="L172" s="1">
        <f t="shared" si="8"/>
        <v>1184.5</v>
      </c>
      <c r="M172" s="1">
        <f t="shared" si="8"/>
        <v>1678.5</v>
      </c>
      <c r="N172" t="str">
        <f t="shared" si="6"/>
        <v>GRAND EST|68 - Haut-Rhin|CA Saint-Louis Agglomération</v>
      </c>
      <c r="O172" s="1" t="str">
        <f t="shared" si="7"/>
        <v>Province</v>
      </c>
    </row>
    <row r="173" spans="1:15" x14ac:dyDescent="0.25">
      <c r="A173" s="1" t="s">
        <v>324</v>
      </c>
      <c r="B173" t="s">
        <v>415</v>
      </c>
      <c r="C173" t="s">
        <v>416</v>
      </c>
      <c r="D173" t="s">
        <v>423</v>
      </c>
      <c r="E173" t="s">
        <v>424</v>
      </c>
      <c r="F173" t="s">
        <v>20</v>
      </c>
      <c r="G173" t="s">
        <v>21</v>
      </c>
      <c r="H173" s="1">
        <v>10788</v>
      </c>
      <c r="I173" s="1">
        <v>14400</v>
      </c>
      <c r="J173" s="1">
        <v>19072</v>
      </c>
      <c r="K173" s="1">
        <f t="shared" si="8"/>
        <v>899</v>
      </c>
      <c r="L173" s="1">
        <f t="shared" si="8"/>
        <v>1200</v>
      </c>
      <c r="M173" s="1">
        <f t="shared" si="8"/>
        <v>1589.3333333333333</v>
      </c>
      <c r="N173" t="str">
        <f t="shared" si="6"/>
        <v>GRAND EST|68 - Haut-Rhin|CC de la Région de Guebwiller</v>
      </c>
      <c r="O173" s="1" t="str">
        <f t="shared" si="7"/>
        <v>Province</v>
      </c>
    </row>
    <row r="174" spans="1:15" x14ac:dyDescent="0.25">
      <c r="A174" s="1" t="s">
        <v>324</v>
      </c>
      <c r="B174" t="s">
        <v>415</v>
      </c>
      <c r="C174" t="s">
        <v>416</v>
      </c>
      <c r="D174" t="s">
        <v>425</v>
      </c>
      <c r="E174" t="s">
        <v>426</v>
      </c>
      <c r="F174" t="s">
        <v>20</v>
      </c>
      <c r="G174" t="s">
        <v>21</v>
      </c>
      <c r="H174" s="1">
        <v>10786</v>
      </c>
      <c r="I174" s="1">
        <v>14260</v>
      </c>
      <c r="J174" s="1">
        <v>18864</v>
      </c>
      <c r="K174" s="1">
        <f t="shared" si="8"/>
        <v>898.83333333333337</v>
      </c>
      <c r="L174" s="1">
        <f t="shared" si="8"/>
        <v>1188.3333333333333</v>
      </c>
      <c r="M174" s="1">
        <f t="shared" si="8"/>
        <v>1572</v>
      </c>
      <c r="N174" t="str">
        <f t="shared" si="6"/>
        <v>GRAND EST|68 - Haut-Rhin|CC de Thann-Cernay</v>
      </c>
      <c r="O174" s="1" t="str">
        <f t="shared" si="7"/>
        <v>Province</v>
      </c>
    </row>
    <row r="175" spans="1:15" x14ac:dyDescent="0.25">
      <c r="A175" s="1" t="s">
        <v>324</v>
      </c>
      <c r="B175" t="s">
        <v>427</v>
      </c>
      <c r="C175" t="s">
        <v>428</v>
      </c>
      <c r="D175" t="s">
        <v>429</v>
      </c>
      <c r="E175" t="s">
        <v>430</v>
      </c>
      <c r="F175" t="s">
        <v>20</v>
      </c>
      <c r="G175" t="s">
        <v>21</v>
      </c>
      <c r="H175" s="1">
        <v>8423</v>
      </c>
      <c r="I175" s="1">
        <v>12448</v>
      </c>
      <c r="J175" s="1">
        <v>17851</v>
      </c>
      <c r="K175" s="1">
        <f t="shared" si="8"/>
        <v>701.91666666666663</v>
      </c>
      <c r="L175" s="1">
        <f t="shared" si="8"/>
        <v>1037.3333333333333</v>
      </c>
      <c r="M175" s="1">
        <f t="shared" si="8"/>
        <v>1487.5833333333333</v>
      </c>
      <c r="N175" t="str">
        <f t="shared" si="6"/>
        <v>GRAND EST|88 - Vosges|CA d'Epinal</v>
      </c>
      <c r="O175" s="1" t="str">
        <f t="shared" si="7"/>
        <v>Province</v>
      </c>
    </row>
    <row r="176" spans="1:15" x14ac:dyDescent="0.25">
      <c r="A176" s="1" t="s">
        <v>324</v>
      </c>
      <c r="B176" t="s">
        <v>427</v>
      </c>
      <c r="C176" t="s">
        <v>428</v>
      </c>
      <c r="D176" t="s">
        <v>357</v>
      </c>
      <c r="E176" t="s">
        <v>358</v>
      </c>
      <c r="F176" t="s">
        <v>20</v>
      </c>
      <c r="G176" t="s">
        <v>21</v>
      </c>
      <c r="H176" s="1">
        <v>8688</v>
      </c>
      <c r="I176" s="1">
        <v>12279</v>
      </c>
      <c r="J176" s="1">
        <v>17109</v>
      </c>
      <c r="K176" s="1">
        <f t="shared" si="8"/>
        <v>724</v>
      </c>
      <c r="L176" s="1">
        <f t="shared" si="8"/>
        <v>1023.25</v>
      </c>
      <c r="M176" s="1">
        <f t="shared" si="8"/>
        <v>1425.75</v>
      </c>
      <c r="N176" t="str">
        <f t="shared" si="6"/>
        <v>GRAND EST|88 - Vosges|CA de Saint-Dié-des-Vosges</v>
      </c>
      <c r="O176" s="1" t="str">
        <f t="shared" si="7"/>
        <v>Province</v>
      </c>
    </row>
    <row r="177" spans="1:15" x14ac:dyDescent="0.25">
      <c r="A177" s="1" t="s">
        <v>324</v>
      </c>
      <c r="B177" t="s">
        <v>427</v>
      </c>
      <c r="C177" t="s">
        <v>428</v>
      </c>
      <c r="D177" t="s">
        <v>431</v>
      </c>
      <c r="E177" t="s">
        <v>432</v>
      </c>
      <c r="F177" t="s">
        <v>20</v>
      </c>
      <c r="G177" t="s">
        <v>21</v>
      </c>
      <c r="H177" s="1">
        <v>8735</v>
      </c>
      <c r="I177" s="1">
        <v>12807</v>
      </c>
      <c r="J177" s="1">
        <v>17400</v>
      </c>
      <c r="K177" s="1">
        <f t="shared" si="8"/>
        <v>727.91666666666663</v>
      </c>
      <c r="L177" s="1">
        <f t="shared" si="8"/>
        <v>1067.25</v>
      </c>
      <c r="M177" s="1">
        <f t="shared" si="8"/>
        <v>1450</v>
      </c>
      <c r="N177" t="str">
        <f t="shared" si="6"/>
        <v>GRAND EST|88 - Vosges|CC de la Porte des Vosges Méridionales</v>
      </c>
      <c r="O177" s="1" t="str">
        <f t="shared" si="7"/>
        <v>Province</v>
      </c>
    </row>
    <row r="178" spans="1:15" x14ac:dyDescent="0.25">
      <c r="A178" s="1" t="s">
        <v>433</v>
      </c>
      <c r="B178" t="s">
        <v>434</v>
      </c>
      <c r="C178" t="s">
        <v>435</v>
      </c>
      <c r="D178" t="s">
        <v>436</v>
      </c>
      <c r="E178" t="s">
        <v>437</v>
      </c>
      <c r="F178" t="s">
        <v>20</v>
      </c>
      <c r="G178" t="s">
        <v>21</v>
      </c>
      <c r="H178" s="1">
        <v>8234</v>
      </c>
      <c r="I178" s="1">
        <v>13368</v>
      </c>
      <c r="J178" s="1">
        <v>19920</v>
      </c>
      <c r="K178" s="1">
        <f t="shared" si="8"/>
        <v>686.16666666666663</v>
      </c>
      <c r="L178" s="1">
        <f t="shared" si="8"/>
        <v>1114</v>
      </c>
      <c r="M178" s="1">
        <f t="shared" si="8"/>
        <v>1660</v>
      </c>
      <c r="N178" t="str">
        <f t="shared" si="6"/>
        <v>GUADELOUPE|97 - -Guadeloupe|CA CAP Excellence</v>
      </c>
      <c r="O178" s="1" t="str">
        <f t="shared" si="7"/>
        <v>OM</v>
      </c>
    </row>
    <row r="179" spans="1:15" x14ac:dyDescent="0.25">
      <c r="A179" s="1" t="s">
        <v>433</v>
      </c>
      <c r="B179" t="s">
        <v>434</v>
      </c>
      <c r="C179" t="s">
        <v>435</v>
      </c>
      <c r="D179" t="s">
        <v>438</v>
      </c>
      <c r="E179" t="s">
        <v>439</v>
      </c>
      <c r="F179" t="s">
        <v>20</v>
      </c>
      <c r="G179" t="s">
        <v>21</v>
      </c>
      <c r="H179" s="1">
        <v>8106</v>
      </c>
      <c r="I179" s="1">
        <v>13000</v>
      </c>
      <c r="J179" s="1">
        <v>20040</v>
      </c>
      <c r="K179" s="1">
        <f t="shared" si="8"/>
        <v>675.5</v>
      </c>
      <c r="L179" s="1">
        <f t="shared" si="8"/>
        <v>1083.3333333333333</v>
      </c>
      <c r="M179" s="1">
        <f t="shared" si="8"/>
        <v>1670</v>
      </c>
      <c r="N179" t="str">
        <f t="shared" si="6"/>
        <v>GUADELOUPE|97 - -Guadeloupe|CA du Nord Basse-Terre</v>
      </c>
      <c r="O179" s="1" t="str">
        <f t="shared" si="7"/>
        <v>OM</v>
      </c>
    </row>
    <row r="180" spans="1:15" x14ac:dyDescent="0.25">
      <c r="A180" s="1" t="s">
        <v>433</v>
      </c>
      <c r="B180" t="s">
        <v>434</v>
      </c>
      <c r="C180" t="s">
        <v>435</v>
      </c>
      <c r="D180" t="s">
        <v>440</v>
      </c>
      <c r="E180" t="s">
        <v>441</v>
      </c>
      <c r="F180" t="s">
        <v>20</v>
      </c>
      <c r="G180" t="s">
        <v>21</v>
      </c>
      <c r="H180" s="1">
        <v>7335</v>
      </c>
      <c r="I180" s="1">
        <v>12047</v>
      </c>
      <c r="J180" s="1">
        <v>17847</v>
      </c>
      <c r="K180" s="1">
        <f t="shared" si="8"/>
        <v>611.25</v>
      </c>
      <c r="L180" s="1">
        <f t="shared" si="8"/>
        <v>1003.9166666666666</v>
      </c>
      <c r="M180" s="1">
        <f t="shared" si="8"/>
        <v>1487.25</v>
      </c>
      <c r="N180" t="str">
        <f t="shared" si="6"/>
        <v>GUADELOUPE|97 - -Guadeloupe|CA du Nord Grande Terre</v>
      </c>
      <c r="O180" s="1" t="str">
        <f t="shared" si="7"/>
        <v>OM</v>
      </c>
    </row>
    <row r="181" spans="1:15" x14ac:dyDescent="0.25">
      <c r="A181" s="1" t="s">
        <v>433</v>
      </c>
      <c r="B181" t="s">
        <v>434</v>
      </c>
      <c r="C181" t="s">
        <v>435</v>
      </c>
      <c r="D181" t="s">
        <v>442</v>
      </c>
      <c r="E181" t="s">
        <v>443</v>
      </c>
      <c r="F181" t="s">
        <v>20</v>
      </c>
      <c r="G181" t="s">
        <v>21</v>
      </c>
      <c r="H181" s="1">
        <v>7564</v>
      </c>
      <c r="I181" s="1">
        <v>12000</v>
      </c>
      <c r="J181" s="1">
        <v>18602</v>
      </c>
      <c r="K181" s="1">
        <f t="shared" si="8"/>
        <v>630.33333333333337</v>
      </c>
      <c r="L181" s="1">
        <f t="shared" si="8"/>
        <v>1000</v>
      </c>
      <c r="M181" s="1">
        <f t="shared" si="8"/>
        <v>1550.1666666666667</v>
      </c>
      <c r="N181" t="str">
        <f t="shared" si="6"/>
        <v>GUADELOUPE|97 - -Guadeloupe|CA Grand Sud Caraïbe</v>
      </c>
      <c r="O181" s="1" t="str">
        <f t="shared" si="7"/>
        <v>OM</v>
      </c>
    </row>
    <row r="182" spans="1:15" x14ac:dyDescent="0.25">
      <c r="A182" s="1" t="s">
        <v>433</v>
      </c>
      <c r="B182" t="s">
        <v>434</v>
      </c>
      <c r="C182" t="s">
        <v>435</v>
      </c>
      <c r="D182" t="s">
        <v>444</v>
      </c>
      <c r="E182" t="s">
        <v>445</v>
      </c>
      <c r="F182" t="s">
        <v>20</v>
      </c>
      <c r="G182" t="s">
        <v>21</v>
      </c>
      <c r="H182" s="1">
        <v>7310</v>
      </c>
      <c r="I182" s="1">
        <v>12000</v>
      </c>
      <c r="J182" s="1">
        <v>18000</v>
      </c>
      <c r="K182" s="1">
        <f t="shared" si="8"/>
        <v>609.16666666666663</v>
      </c>
      <c r="L182" s="1">
        <f t="shared" si="8"/>
        <v>1000</v>
      </c>
      <c r="M182" s="1">
        <f t="shared" si="8"/>
        <v>1500</v>
      </c>
      <c r="N182" t="str">
        <f t="shared" si="6"/>
        <v>GUADELOUPE|97 - -Guadeloupe|CA La Riviéra du Levant</v>
      </c>
      <c r="O182" s="1" t="str">
        <f t="shared" si="7"/>
        <v>OM</v>
      </c>
    </row>
    <row r="183" spans="1:15" x14ac:dyDescent="0.25">
      <c r="A183" s="1" t="s">
        <v>446</v>
      </c>
      <c r="B183" t="s">
        <v>447</v>
      </c>
      <c r="C183" t="s">
        <v>448</v>
      </c>
      <c r="D183" t="s">
        <v>449</v>
      </c>
      <c r="E183" t="s">
        <v>450</v>
      </c>
      <c r="F183" t="s">
        <v>20</v>
      </c>
      <c r="G183" t="s">
        <v>21</v>
      </c>
      <c r="H183" s="1">
        <v>8603</v>
      </c>
      <c r="I183" s="1">
        <v>13494</v>
      </c>
      <c r="J183" s="1">
        <v>20153</v>
      </c>
      <c r="K183" s="1">
        <f t="shared" si="8"/>
        <v>716.91666666666663</v>
      </c>
      <c r="L183" s="1">
        <f t="shared" si="8"/>
        <v>1124.5</v>
      </c>
      <c r="M183" s="1">
        <f t="shared" si="8"/>
        <v>1679.4166666666667</v>
      </c>
      <c r="N183" t="str">
        <f t="shared" si="6"/>
        <v>GUYANE|97 - -Guyane|CA du Centre Littoral</v>
      </c>
      <c r="O183" s="1" t="str">
        <f t="shared" si="7"/>
        <v>OM</v>
      </c>
    </row>
    <row r="184" spans="1:15" x14ac:dyDescent="0.25">
      <c r="A184" s="1" t="s">
        <v>446</v>
      </c>
      <c r="B184" t="s">
        <v>447</v>
      </c>
      <c r="C184" t="s">
        <v>448</v>
      </c>
      <c r="D184" t="s">
        <v>451</v>
      </c>
      <c r="E184" t="s">
        <v>452</v>
      </c>
      <c r="F184" t="s">
        <v>20</v>
      </c>
      <c r="G184" t="s">
        <v>21</v>
      </c>
      <c r="H184" s="1">
        <v>7275</v>
      </c>
      <c r="I184" s="1">
        <v>10458</v>
      </c>
      <c r="J184" s="1">
        <v>17366</v>
      </c>
      <c r="K184" s="1">
        <f t="shared" si="8"/>
        <v>606.25</v>
      </c>
      <c r="L184" s="1">
        <f t="shared" si="8"/>
        <v>871.5</v>
      </c>
      <c r="M184" s="1">
        <f t="shared" si="8"/>
        <v>1447.1666666666667</v>
      </c>
      <c r="N184" t="str">
        <f t="shared" si="6"/>
        <v>GUYANE|97 - -Guyane|CC de l'Ouest Guyanais</v>
      </c>
      <c r="O184" s="1" t="str">
        <f t="shared" si="7"/>
        <v>OM</v>
      </c>
    </row>
    <row r="185" spans="1:15" x14ac:dyDescent="0.25">
      <c r="A185" s="1" t="s">
        <v>446</v>
      </c>
      <c r="B185" t="s">
        <v>447</v>
      </c>
      <c r="C185" t="s">
        <v>448</v>
      </c>
      <c r="D185" t="s">
        <v>453</v>
      </c>
      <c r="E185" t="s">
        <v>454</v>
      </c>
      <c r="F185" t="s">
        <v>20</v>
      </c>
      <c r="G185" t="s">
        <v>21</v>
      </c>
      <c r="H185" s="1">
        <v>7605</v>
      </c>
      <c r="I185" s="1">
        <v>12124</v>
      </c>
      <c r="J185" s="1">
        <v>18000</v>
      </c>
      <c r="K185" s="1">
        <f t="shared" si="8"/>
        <v>633.75</v>
      </c>
      <c r="L185" s="1">
        <f t="shared" si="8"/>
        <v>1010.3333333333334</v>
      </c>
      <c r="M185" s="1">
        <f t="shared" si="8"/>
        <v>1500</v>
      </c>
      <c r="N185" t="str">
        <f t="shared" si="6"/>
        <v>GUYANE|97 - -Guyane|CC des Savanes</v>
      </c>
      <c r="O185" s="1" t="str">
        <f t="shared" si="7"/>
        <v>OM</v>
      </c>
    </row>
    <row r="186" spans="1:15" x14ac:dyDescent="0.25">
      <c r="A186" s="1" t="s">
        <v>455</v>
      </c>
      <c r="B186" t="s">
        <v>456</v>
      </c>
      <c r="C186" t="s">
        <v>457</v>
      </c>
      <c r="D186" t="s">
        <v>458</v>
      </c>
      <c r="E186" t="s">
        <v>459</v>
      </c>
      <c r="F186" t="s">
        <v>20</v>
      </c>
      <c r="G186" t="s">
        <v>21</v>
      </c>
      <c r="H186" s="1">
        <v>7948</v>
      </c>
      <c r="I186" s="1">
        <v>11699</v>
      </c>
      <c r="J186" s="1">
        <v>16629</v>
      </c>
      <c r="K186" s="1">
        <f t="shared" si="8"/>
        <v>662.33333333333337</v>
      </c>
      <c r="L186" s="1">
        <f t="shared" si="8"/>
        <v>974.91666666666663</v>
      </c>
      <c r="M186" s="1">
        <f t="shared" si="8"/>
        <v>1385.75</v>
      </c>
      <c r="N186" t="str">
        <f t="shared" si="6"/>
        <v>HAUTS-DE-FRANCE|02 - Aisne|CA Chauny Tergnier La Fère</v>
      </c>
      <c r="O186" s="1" t="str">
        <f t="shared" si="7"/>
        <v>HDF</v>
      </c>
    </row>
    <row r="187" spans="1:15" x14ac:dyDescent="0.25">
      <c r="A187" s="1" t="s">
        <v>455</v>
      </c>
      <c r="B187" t="s">
        <v>456</v>
      </c>
      <c r="C187" t="s">
        <v>457</v>
      </c>
      <c r="D187" t="s">
        <v>460</v>
      </c>
      <c r="E187" t="s">
        <v>461</v>
      </c>
      <c r="F187" t="s">
        <v>20</v>
      </c>
      <c r="G187" t="s">
        <v>21</v>
      </c>
      <c r="H187" s="1">
        <v>8402</v>
      </c>
      <c r="I187" s="1">
        <v>12381</v>
      </c>
      <c r="J187" s="1">
        <v>17918</v>
      </c>
      <c r="K187" s="1">
        <f t="shared" si="8"/>
        <v>700.16666666666663</v>
      </c>
      <c r="L187" s="1">
        <f t="shared" si="8"/>
        <v>1031.75</v>
      </c>
      <c r="M187" s="1">
        <f t="shared" si="8"/>
        <v>1493.1666666666667</v>
      </c>
      <c r="N187" t="str">
        <f t="shared" si="6"/>
        <v>HAUTS-DE-FRANCE|02 - Aisne|CA de la Région de Château-Thierry</v>
      </c>
      <c r="O187" s="1" t="str">
        <f t="shared" si="7"/>
        <v>HDF</v>
      </c>
    </row>
    <row r="188" spans="1:15" x14ac:dyDescent="0.25">
      <c r="A188" s="1" t="s">
        <v>455</v>
      </c>
      <c r="B188" t="s">
        <v>456</v>
      </c>
      <c r="C188" t="s">
        <v>457</v>
      </c>
      <c r="D188" t="s">
        <v>462</v>
      </c>
      <c r="E188" t="s">
        <v>463</v>
      </c>
      <c r="F188" t="s">
        <v>20</v>
      </c>
      <c r="G188" t="s">
        <v>21</v>
      </c>
      <c r="H188" s="1">
        <v>7688</v>
      </c>
      <c r="I188" s="1">
        <v>11880</v>
      </c>
      <c r="J188" s="1">
        <v>16428</v>
      </c>
      <c r="K188" s="1">
        <f t="shared" si="8"/>
        <v>640.66666666666663</v>
      </c>
      <c r="L188" s="1">
        <f t="shared" si="8"/>
        <v>990</v>
      </c>
      <c r="M188" s="1">
        <f t="shared" si="8"/>
        <v>1369</v>
      </c>
      <c r="N188" t="str">
        <f t="shared" si="6"/>
        <v>HAUTS-DE-FRANCE|02 - Aisne|CA du Pays de Laon</v>
      </c>
      <c r="O188" s="1" t="str">
        <f t="shared" si="7"/>
        <v>HDF</v>
      </c>
    </row>
    <row r="189" spans="1:15" x14ac:dyDescent="0.25">
      <c r="A189" s="1" t="s">
        <v>455</v>
      </c>
      <c r="B189" t="s">
        <v>456</v>
      </c>
      <c r="C189" t="s">
        <v>457</v>
      </c>
      <c r="D189" t="s">
        <v>464</v>
      </c>
      <c r="E189" t="s">
        <v>465</v>
      </c>
      <c r="F189" t="s">
        <v>20</v>
      </c>
      <c r="G189" t="s">
        <v>21</v>
      </c>
      <c r="H189" s="1">
        <v>7802</v>
      </c>
      <c r="I189" s="1">
        <v>11718</v>
      </c>
      <c r="J189" s="1">
        <v>16258</v>
      </c>
      <c r="K189" s="1">
        <f t="shared" si="8"/>
        <v>650.16666666666663</v>
      </c>
      <c r="L189" s="1">
        <f t="shared" si="8"/>
        <v>976.5</v>
      </c>
      <c r="M189" s="1">
        <f t="shared" si="8"/>
        <v>1354.8333333333333</v>
      </c>
      <c r="N189" t="str">
        <f t="shared" si="6"/>
        <v>HAUTS-DE-FRANCE|02 - Aisne|CA du Saint-Quentinois</v>
      </c>
      <c r="O189" s="1" t="str">
        <f t="shared" si="7"/>
        <v>HDF</v>
      </c>
    </row>
    <row r="190" spans="1:15" x14ac:dyDescent="0.25">
      <c r="A190" s="1" t="s">
        <v>455</v>
      </c>
      <c r="B190" t="s">
        <v>456</v>
      </c>
      <c r="C190" t="s">
        <v>457</v>
      </c>
      <c r="D190" t="s">
        <v>466</v>
      </c>
      <c r="E190" t="s">
        <v>467</v>
      </c>
      <c r="F190" t="s">
        <v>20</v>
      </c>
      <c r="G190" t="s">
        <v>21</v>
      </c>
      <c r="H190" s="1">
        <v>7415</v>
      </c>
      <c r="I190" s="1">
        <v>11504</v>
      </c>
      <c r="J190" s="1">
        <v>15462</v>
      </c>
      <c r="K190" s="1">
        <f t="shared" si="8"/>
        <v>617.91666666666663</v>
      </c>
      <c r="L190" s="1">
        <f t="shared" si="8"/>
        <v>958.66666666666663</v>
      </c>
      <c r="M190" s="1">
        <f t="shared" si="8"/>
        <v>1288.5</v>
      </c>
      <c r="N190" t="str">
        <f t="shared" si="6"/>
        <v>HAUTS-DE-FRANCE|02 - Aisne|CC des Trois Rivières</v>
      </c>
      <c r="O190" s="1" t="str">
        <f t="shared" si="7"/>
        <v>HDF</v>
      </c>
    </row>
    <row r="191" spans="1:15" x14ac:dyDescent="0.25">
      <c r="A191" s="1" t="s">
        <v>455</v>
      </c>
      <c r="B191" t="s">
        <v>456</v>
      </c>
      <c r="C191" t="s">
        <v>457</v>
      </c>
      <c r="D191" t="s">
        <v>468</v>
      </c>
      <c r="E191" t="s">
        <v>469</v>
      </c>
      <c r="F191" t="s">
        <v>20</v>
      </c>
      <c r="G191" t="s">
        <v>21</v>
      </c>
      <c r="H191" s="1">
        <v>9713</v>
      </c>
      <c r="I191" s="1">
        <v>14400</v>
      </c>
      <c r="J191" s="1">
        <v>18972</v>
      </c>
      <c r="K191" s="1">
        <f t="shared" si="8"/>
        <v>809.41666666666663</v>
      </c>
      <c r="L191" s="1">
        <f t="shared" si="8"/>
        <v>1200</v>
      </c>
      <c r="M191" s="1">
        <f t="shared" si="8"/>
        <v>1581</v>
      </c>
      <c r="N191" t="str">
        <f t="shared" si="6"/>
        <v>HAUTS-DE-FRANCE|02 - Aisne|CC Retz en Valois</v>
      </c>
      <c r="O191" s="1" t="str">
        <f t="shared" si="7"/>
        <v>HDF</v>
      </c>
    </row>
    <row r="192" spans="1:15" x14ac:dyDescent="0.25">
      <c r="A192" s="1" t="s">
        <v>455</v>
      </c>
      <c r="B192" t="s">
        <v>456</v>
      </c>
      <c r="C192" t="s">
        <v>457</v>
      </c>
      <c r="D192" t="s">
        <v>470</v>
      </c>
      <c r="E192" t="s">
        <v>471</v>
      </c>
      <c r="F192" t="s">
        <v>20</v>
      </c>
      <c r="G192" t="s">
        <v>21</v>
      </c>
      <c r="H192" s="1">
        <v>8698</v>
      </c>
      <c r="I192" s="1">
        <v>12729</v>
      </c>
      <c r="J192" s="1">
        <v>18059</v>
      </c>
      <c r="K192" s="1">
        <f t="shared" si="8"/>
        <v>724.83333333333337</v>
      </c>
      <c r="L192" s="1">
        <f t="shared" si="8"/>
        <v>1060.75</v>
      </c>
      <c r="M192" s="1">
        <f t="shared" si="8"/>
        <v>1504.9166666666667</v>
      </c>
      <c r="N192" t="str">
        <f t="shared" si="6"/>
        <v>HAUTS-DE-FRANCE|02 - Aisne|GrandSoissons Agglomération</v>
      </c>
      <c r="O192" s="1" t="str">
        <f t="shared" si="7"/>
        <v>HDF</v>
      </c>
    </row>
    <row r="193" spans="1:15" x14ac:dyDescent="0.25">
      <c r="A193" s="1" t="s">
        <v>455</v>
      </c>
      <c r="B193" t="s">
        <v>472</v>
      </c>
      <c r="C193" t="s">
        <v>473</v>
      </c>
      <c r="D193" t="s">
        <v>474</v>
      </c>
      <c r="E193" t="s">
        <v>475</v>
      </c>
      <c r="F193" t="s">
        <v>20</v>
      </c>
      <c r="G193" t="s">
        <v>21</v>
      </c>
      <c r="H193" s="1">
        <v>10329</v>
      </c>
      <c r="I193" s="1">
        <v>14006</v>
      </c>
      <c r="J193" s="1">
        <v>18600</v>
      </c>
      <c r="K193" s="1">
        <f t="shared" si="8"/>
        <v>860.75</v>
      </c>
      <c r="L193" s="1">
        <f t="shared" si="8"/>
        <v>1167.1666666666667</v>
      </c>
      <c r="M193" s="1">
        <f t="shared" si="8"/>
        <v>1550</v>
      </c>
      <c r="N193" t="str">
        <f t="shared" si="6"/>
        <v>HAUTS-DE-FRANCE|59 - Nord|CA Coeur de Flandre</v>
      </c>
      <c r="O193" s="1" t="str">
        <f t="shared" si="7"/>
        <v>HDF</v>
      </c>
    </row>
    <row r="194" spans="1:15" x14ac:dyDescent="0.25">
      <c r="A194" s="1" t="s">
        <v>455</v>
      </c>
      <c r="B194" t="s">
        <v>472</v>
      </c>
      <c r="C194" t="s">
        <v>473</v>
      </c>
      <c r="D194" t="s">
        <v>476</v>
      </c>
      <c r="E194" t="s">
        <v>477</v>
      </c>
      <c r="F194" t="s">
        <v>20</v>
      </c>
      <c r="G194" t="s">
        <v>21</v>
      </c>
      <c r="H194" s="1">
        <v>8484</v>
      </c>
      <c r="I194" s="1">
        <v>12504</v>
      </c>
      <c r="J194" s="1">
        <v>17760</v>
      </c>
      <c r="K194" s="1">
        <f t="shared" si="8"/>
        <v>707</v>
      </c>
      <c r="L194" s="1">
        <f t="shared" si="8"/>
        <v>1042</v>
      </c>
      <c r="M194" s="1">
        <f t="shared" si="8"/>
        <v>1480</v>
      </c>
      <c r="N194" t="str">
        <f t="shared" ref="N194:N257" si="9">SUBSTITUTE(
   UPPER(SUBSTITUTE(TRIM(A194), CHAR(160), " ")) &amp; "|" &amp;
   SUBSTITUTE(TRIM(C194), CHAR(160), " ") &amp; "|" &amp;
   SUBSTITUTE(TRIM(D194), CHAR(160), " "),
   "–", "-"
)</f>
        <v>HAUTS-DE-FRANCE|59 - Nord|CA Coeur d'Ostrevent</v>
      </c>
      <c r="O194" s="1" t="str">
        <f t="shared" ref="O194:O257" si="10">IF(A194="Hauts-de-France", "HDF",
IF(A194="Île-de-France", "IDF",
IF(OR(A194="Guadeloupe", A194="Martinique", A194="Guyane", A194="La Réunion", A194="Mayotte"), "OM", "Province")))</f>
        <v>HDF</v>
      </c>
    </row>
    <row r="195" spans="1:15" x14ac:dyDescent="0.25">
      <c r="A195" s="1" t="s">
        <v>455</v>
      </c>
      <c r="B195" t="s">
        <v>472</v>
      </c>
      <c r="C195" t="s">
        <v>473</v>
      </c>
      <c r="D195" t="s">
        <v>478</v>
      </c>
      <c r="E195" t="s">
        <v>479</v>
      </c>
      <c r="F195" t="s">
        <v>20</v>
      </c>
      <c r="G195" t="s">
        <v>21</v>
      </c>
      <c r="H195" s="1">
        <v>8541</v>
      </c>
      <c r="I195" s="1">
        <v>12559</v>
      </c>
      <c r="J195" s="1">
        <v>17400</v>
      </c>
      <c r="K195" s="1">
        <f t="shared" ref="K195:M258" si="11">H195/12</f>
        <v>711.75</v>
      </c>
      <c r="L195" s="1">
        <f t="shared" si="11"/>
        <v>1046.5833333333333</v>
      </c>
      <c r="M195" s="1">
        <f t="shared" si="11"/>
        <v>1450</v>
      </c>
      <c r="N195" t="str">
        <f t="shared" si="9"/>
        <v>HAUTS-DE-FRANCE|59 - Nord|CA de Cambrai</v>
      </c>
      <c r="O195" s="1" t="str">
        <f t="shared" si="10"/>
        <v>HDF</v>
      </c>
    </row>
    <row r="196" spans="1:15" x14ac:dyDescent="0.25">
      <c r="A196" s="1" t="s">
        <v>455</v>
      </c>
      <c r="B196" t="s">
        <v>472</v>
      </c>
      <c r="C196" t="s">
        <v>473</v>
      </c>
      <c r="D196" t="s">
        <v>480</v>
      </c>
      <c r="E196" t="s">
        <v>481</v>
      </c>
      <c r="F196" t="s">
        <v>20</v>
      </c>
      <c r="G196" t="s">
        <v>21</v>
      </c>
      <c r="H196" s="1">
        <v>8662</v>
      </c>
      <c r="I196" s="1">
        <v>12660</v>
      </c>
      <c r="J196" s="1">
        <v>17415</v>
      </c>
      <c r="K196" s="1">
        <f t="shared" si="11"/>
        <v>721.83333333333337</v>
      </c>
      <c r="L196" s="1">
        <f t="shared" si="11"/>
        <v>1055</v>
      </c>
      <c r="M196" s="1">
        <f t="shared" si="11"/>
        <v>1451.25</v>
      </c>
      <c r="N196" t="str">
        <f t="shared" si="9"/>
        <v>HAUTS-DE-FRANCE|59 - Nord|CA de la Porte du Hainaut</v>
      </c>
      <c r="O196" s="1" t="str">
        <f t="shared" si="10"/>
        <v>HDF</v>
      </c>
    </row>
    <row r="197" spans="1:15" x14ac:dyDescent="0.25">
      <c r="A197" s="1" t="s">
        <v>455</v>
      </c>
      <c r="B197" t="s">
        <v>472</v>
      </c>
      <c r="C197" t="s">
        <v>473</v>
      </c>
      <c r="D197" t="s">
        <v>482</v>
      </c>
      <c r="E197" t="s">
        <v>483</v>
      </c>
      <c r="F197" t="s">
        <v>20</v>
      </c>
      <c r="G197" t="s">
        <v>21</v>
      </c>
      <c r="H197" s="1">
        <v>8678</v>
      </c>
      <c r="I197" s="1">
        <v>12872</v>
      </c>
      <c r="J197" s="1">
        <v>18169</v>
      </c>
      <c r="K197" s="1">
        <f t="shared" si="11"/>
        <v>723.16666666666663</v>
      </c>
      <c r="L197" s="1">
        <f t="shared" si="11"/>
        <v>1072.6666666666667</v>
      </c>
      <c r="M197" s="1">
        <f t="shared" si="11"/>
        <v>1514.0833333333333</v>
      </c>
      <c r="N197" t="str">
        <f t="shared" si="9"/>
        <v>HAUTS-DE-FRANCE|59 - Nord|CA Douaisis Agglo</v>
      </c>
      <c r="O197" s="1" t="str">
        <f t="shared" si="10"/>
        <v>HDF</v>
      </c>
    </row>
    <row r="198" spans="1:15" x14ac:dyDescent="0.25">
      <c r="A198" s="1" t="s">
        <v>455</v>
      </c>
      <c r="B198" t="s">
        <v>472</v>
      </c>
      <c r="C198" t="s">
        <v>473</v>
      </c>
      <c r="D198" t="s">
        <v>484</v>
      </c>
      <c r="E198" t="s">
        <v>485</v>
      </c>
      <c r="F198" t="s">
        <v>20</v>
      </c>
      <c r="G198" t="s">
        <v>21</v>
      </c>
      <c r="H198" s="1">
        <v>7620</v>
      </c>
      <c r="I198" s="1">
        <v>11652</v>
      </c>
      <c r="J198" s="1">
        <v>16073</v>
      </c>
      <c r="K198" s="1">
        <f t="shared" si="11"/>
        <v>635</v>
      </c>
      <c r="L198" s="1">
        <f t="shared" si="11"/>
        <v>971</v>
      </c>
      <c r="M198" s="1">
        <f t="shared" si="11"/>
        <v>1339.4166666666667</v>
      </c>
      <c r="N198" t="str">
        <f t="shared" si="9"/>
        <v>HAUTS-DE-FRANCE|59 - Nord|CA du Caudrésis et du Catésis</v>
      </c>
      <c r="O198" s="1" t="str">
        <f t="shared" si="10"/>
        <v>HDF</v>
      </c>
    </row>
    <row r="199" spans="1:15" x14ac:dyDescent="0.25">
      <c r="A199" s="1" t="s">
        <v>455</v>
      </c>
      <c r="B199" t="s">
        <v>472</v>
      </c>
      <c r="C199" t="s">
        <v>473</v>
      </c>
      <c r="D199" t="s">
        <v>486</v>
      </c>
      <c r="E199" t="s">
        <v>487</v>
      </c>
      <c r="F199" t="s">
        <v>20</v>
      </c>
      <c r="G199" t="s">
        <v>21</v>
      </c>
      <c r="H199" s="1">
        <v>8476</v>
      </c>
      <c r="I199" s="1">
        <v>12432</v>
      </c>
      <c r="J199" s="1">
        <v>17713</v>
      </c>
      <c r="K199" s="1">
        <f t="shared" si="11"/>
        <v>706.33333333333337</v>
      </c>
      <c r="L199" s="1">
        <f t="shared" si="11"/>
        <v>1036</v>
      </c>
      <c r="M199" s="1">
        <f t="shared" si="11"/>
        <v>1476.0833333333333</v>
      </c>
      <c r="N199" t="str">
        <f t="shared" si="9"/>
        <v>HAUTS-DE-FRANCE|59 - Nord|CA Maubeuge Val de Sambre</v>
      </c>
      <c r="O199" s="1" t="str">
        <f t="shared" si="10"/>
        <v>HDF</v>
      </c>
    </row>
    <row r="200" spans="1:15" x14ac:dyDescent="0.25">
      <c r="A200" s="1" t="s">
        <v>455</v>
      </c>
      <c r="B200" t="s">
        <v>472</v>
      </c>
      <c r="C200" t="s">
        <v>473</v>
      </c>
      <c r="D200" t="s">
        <v>488</v>
      </c>
      <c r="E200" t="s">
        <v>489</v>
      </c>
      <c r="F200" t="s">
        <v>20</v>
      </c>
      <c r="G200" t="s">
        <v>21</v>
      </c>
      <c r="H200" s="1">
        <v>8697</v>
      </c>
      <c r="I200" s="1">
        <v>12600</v>
      </c>
      <c r="J200" s="1">
        <v>17856</v>
      </c>
      <c r="K200" s="1">
        <f t="shared" si="11"/>
        <v>724.75</v>
      </c>
      <c r="L200" s="1">
        <f t="shared" si="11"/>
        <v>1050</v>
      </c>
      <c r="M200" s="1">
        <f t="shared" si="11"/>
        <v>1488</v>
      </c>
      <c r="N200" t="str">
        <f t="shared" si="9"/>
        <v>HAUTS-DE-FRANCE|59 - Nord|CA Valenciennes Métropole</v>
      </c>
      <c r="O200" s="1" t="str">
        <f t="shared" si="10"/>
        <v>HDF</v>
      </c>
    </row>
    <row r="201" spans="1:15" x14ac:dyDescent="0.25">
      <c r="A201" s="1" t="s">
        <v>455</v>
      </c>
      <c r="B201" t="s">
        <v>472</v>
      </c>
      <c r="C201" t="s">
        <v>473</v>
      </c>
      <c r="D201" t="s">
        <v>490</v>
      </c>
      <c r="E201" t="s">
        <v>491</v>
      </c>
      <c r="F201" t="s">
        <v>20</v>
      </c>
      <c r="G201" t="s">
        <v>21</v>
      </c>
      <c r="H201" s="1">
        <v>10047</v>
      </c>
      <c r="I201" s="1">
        <v>13740</v>
      </c>
      <c r="J201" s="1">
        <v>18864</v>
      </c>
      <c r="K201" s="1">
        <f t="shared" si="11"/>
        <v>837.25</v>
      </c>
      <c r="L201" s="1">
        <f t="shared" si="11"/>
        <v>1145</v>
      </c>
      <c r="M201" s="1">
        <f t="shared" si="11"/>
        <v>1572</v>
      </c>
      <c r="N201" t="str">
        <f t="shared" si="9"/>
        <v>HAUTS-DE-FRANCE|59 - Nord|CC du Pays de Mormal</v>
      </c>
      <c r="O201" s="1" t="str">
        <f t="shared" si="10"/>
        <v>HDF</v>
      </c>
    </row>
    <row r="202" spans="1:15" x14ac:dyDescent="0.25">
      <c r="A202" s="1" t="s">
        <v>455</v>
      </c>
      <c r="B202" t="s">
        <v>472</v>
      </c>
      <c r="C202" t="s">
        <v>473</v>
      </c>
      <c r="D202" t="s">
        <v>492</v>
      </c>
      <c r="E202" t="s">
        <v>493</v>
      </c>
      <c r="F202" t="s">
        <v>20</v>
      </c>
      <c r="G202" t="s">
        <v>21</v>
      </c>
      <c r="H202" s="1">
        <v>7620</v>
      </c>
      <c r="I202" s="1">
        <v>11880</v>
      </c>
      <c r="J202" s="1">
        <v>16448</v>
      </c>
      <c r="K202" s="1">
        <f t="shared" si="11"/>
        <v>635</v>
      </c>
      <c r="L202" s="1">
        <f t="shared" si="11"/>
        <v>990</v>
      </c>
      <c r="M202" s="1">
        <f t="shared" si="11"/>
        <v>1370.6666666666667</v>
      </c>
      <c r="N202" t="str">
        <f t="shared" si="9"/>
        <v>HAUTS-DE-FRANCE|59 - Nord|CC du Sud Avesnois</v>
      </c>
      <c r="O202" s="1" t="str">
        <f t="shared" si="10"/>
        <v>HDF</v>
      </c>
    </row>
    <row r="203" spans="1:15" x14ac:dyDescent="0.25">
      <c r="A203" s="1" t="s">
        <v>455</v>
      </c>
      <c r="B203" t="s">
        <v>472</v>
      </c>
      <c r="C203" t="s">
        <v>473</v>
      </c>
      <c r="D203" t="s">
        <v>494</v>
      </c>
      <c r="E203" t="s">
        <v>495</v>
      </c>
      <c r="F203" t="s">
        <v>20</v>
      </c>
      <c r="G203" t="s">
        <v>21</v>
      </c>
      <c r="H203" s="1">
        <v>11206</v>
      </c>
      <c r="I203" s="1">
        <v>15544</v>
      </c>
      <c r="J203" s="1">
        <v>20388</v>
      </c>
      <c r="K203" s="1">
        <f t="shared" si="11"/>
        <v>933.83333333333337</v>
      </c>
      <c r="L203" s="1">
        <f t="shared" si="11"/>
        <v>1295.3333333333333</v>
      </c>
      <c r="M203" s="1">
        <f t="shared" si="11"/>
        <v>1699</v>
      </c>
      <c r="N203" t="str">
        <f t="shared" si="9"/>
        <v>HAUTS-DE-FRANCE|59 - Nord|CC Pévèle-Carembault</v>
      </c>
      <c r="O203" s="1" t="str">
        <f t="shared" si="10"/>
        <v>HDF</v>
      </c>
    </row>
    <row r="204" spans="1:15" x14ac:dyDescent="0.25">
      <c r="A204" s="1" t="s">
        <v>455</v>
      </c>
      <c r="B204" t="s">
        <v>472</v>
      </c>
      <c r="C204" t="s">
        <v>473</v>
      </c>
      <c r="D204" t="s">
        <v>496</v>
      </c>
      <c r="E204" t="s">
        <v>497</v>
      </c>
      <c r="F204" t="s">
        <v>20</v>
      </c>
      <c r="G204" t="s">
        <v>21</v>
      </c>
      <c r="H204" s="1">
        <v>9831</v>
      </c>
      <c r="I204" s="1">
        <v>14012</v>
      </c>
      <c r="J204" s="1">
        <v>19200</v>
      </c>
      <c r="K204" s="1">
        <f t="shared" si="11"/>
        <v>819.25</v>
      </c>
      <c r="L204" s="1">
        <f t="shared" si="11"/>
        <v>1167.6666666666667</v>
      </c>
      <c r="M204" s="1">
        <f t="shared" si="11"/>
        <v>1600</v>
      </c>
      <c r="N204" t="str">
        <f t="shared" si="9"/>
        <v>HAUTS-DE-FRANCE|59 - Nord|CU de Dunkerque</v>
      </c>
      <c r="O204" s="1" t="str">
        <f t="shared" si="10"/>
        <v>HDF</v>
      </c>
    </row>
    <row r="205" spans="1:15" x14ac:dyDescent="0.25">
      <c r="A205" s="1" t="s">
        <v>455</v>
      </c>
      <c r="B205" t="s">
        <v>472</v>
      </c>
      <c r="C205" t="s">
        <v>473</v>
      </c>
      <c r="D205" t="s">
        <v>498</v>
      </c>
      <c r="E205" t="s">
        <v>499</v>
      </c>
      <c r="F205" t="s">
        <v>20</v>
      </c>
      <c r="G205" t="s">
        <v>21</v>
      </c>
      <c r="H205" s="1">
        <v>9427</v>
      </c>
      <c r="I205" s="1">
        <v>13872</v>
      </c>
      <c r="J205" s="1">
        <v>19200</v>
      </c>
      <c r="K205" s="1">
        <f t="shared" si="11"/>
        <v>785.58333333333337</v>
      </c>
      <c r="L205" s="1">
        <f t="shared" si="11"/>
        <v>1156</v>
      </c>
      <c r="M205" s="1">
        <f t="shared" si="11"/>
        <v>1600</v>
      </c>
      <c r="N205" t="str">
        <f t="shared" si="9"/>
        <v>HAUTS-DE-FRANCE|59 - Nord|Métropole Européenne de Lille</v>
      </c>
      <c r="O205" s="1" t="str">
        <f t="shared" si="10"/>
        <v>HDF</v>
      </c>
    </row>
    <row r="206" spans="1:15" x14ac:dyDescent="0.25">
      <c r="A206" s="1" t="s">
        <v>455</v>
      </c>
      <c r="B206" t="s">
        <v>500</v>
      </c>
      <c r="C206" t="s">
        <v>501</v>
      </c>
      <c r="D206" t="s">
        <v>502</v>
      </c>
      <c r="E206" t="s">
        <v>503</v>
      </c>
      <c r="F206" t="s">
        <v>20</v>
      </c>
      <c r="G206" t="s">
        <v>21</v>
      </c>
      <c r="H206" s="1">
        <v>9600</v>
      </c>
      <c r="I206" s="1">
        <v>13958</v>
      </c>
      <c r="J206" s="1">
        <v>19274</v>
      </c>
      <c r="K206" s="1">
        <f t="shared" si="11"/>
        <v>800</v>
      </c>
      <c r="L206" s="1">
        <f t="shared" si="11"/>
        <v>1163.1666666666667</v>
      </c>
      <c r="M206" s="1">
        <f t="shared" si="11"/>
        <v>1606.1666666666667</v>
      </c>
      <c r="N206" t="str">
        <f t="shared" si="9"/>
        <v>HAUTS-DE-FRANCE|60 - Oise|CA Creil Sud Oise</v>
      </c>
      <c r="O206" s="1" t="str">
        <f t="shared" si="10"/>
        <v>HDF</v>
      </c>
    </row>
    <row r="207" spans="1:15" x14ac:dyDescent="0.25">
      <c r="A207" s="1" t="s">
        <v>455</v>
      </c>
      <c r="B207" t="s">
        <v>500</v>
      </c>
      <c r="C207" t="s">
        <v>501</v>
      </c>
      <c r="D207" t="s">
        <v>504</v>
      </c>
      <c r="E207" t="s">
        <v>505</v>
      </c>
      <c r="F207" t="s">
        <v>20</v>
      </c>
      <c r="G207" t="s">
        <v>21</v>
      </c>
      <c r="H207" s="1">
        <v>10560</v>
      </c>
      <c r="I207" s="1">
        <v>15000</v>
      </c>
      <c r="J207" s="1">
        <v>20000</v>
      </c>
      <c r="K207" s="1">
        <f t="shared" si="11"/>
        <v>880</v>
      </c>
      <c r="L207" s="1">
        <f t="shared" si="11"/>
        <v>1250</v>
      </c>
      <c r="M207" s="1">
        <f t="shared" si="11"/>
        <v>1666.6666666666667</v>
      </c>
      <c r="N207" t="str">
        <f t="shared" si="9"/>
        <v>HAUTS-DE-FRANCE|60 - Oise|CA de la Région de Compiègne et de la Basse Automne</v>
      </c>
      <c r="O207" s="1" t="str">
        <f t="shared" si="10"/>
        <v>HDF</v>
      </c>
    </row>
    <row r="208" spans="1:15" x14ac:dyDescent="0.25">
      <c r="A208" s="1" t="s">
        <v>455</v>
      </c>
      <c r="B208" t="s">
        <v>500</v>
      </c>
      <c r="C208" t="s">
        <v>501</v>
      </c>
      <c r="D208" t="s">
        <v>506</v>
      </c>
      <c r="E208" t="s">
        <v>507</v>
      </c>
      <c r="F208" t="s">
        <v>20</v>
      </c>
      <c r="G208" t="s">
        <v>21</v>
      </c>
      <c r="H208" s="1">
        <v>9318</v>
      </c>
      <c r="I208" s="1">
        <v>13440</v>
      </c>
      <c r="J208" s="1">
        <v>18600</v>
      </c>
      <c r="K208" s="1">
        <f t="shared" si="11"/>
        <v>776.5</v>
      </c>
      <c r="L208" s="1">
        <f t="shared" si="11"/>
        <v>1120</v>
      </c>
      <c r="M208" s="1">
        <f t="shared" si="11"/>
        <v>1550</v>
      </c>
      <c r="N208" t="str">
        <f t="shared" si="9"/>
        <v>HAUTS-DE-FRANCE|60 - Oise|CA du Beauvaisis</v>
      </c>
      <c r="O208" s="1" t="str">
        <f t="shared" si="10"/>
        <v>HDF</v>
      </c>
    </row>
    <row r="209" spans="1:15" x14ac:dyDescent="0.25">
      <c r="A209" s="1" t="s">
        <v>455</v>
      </c>
      <c r="B209" t="s">
        <v>500</v>
      </c>
      <c r="C209" t="s">
        <v>501</v>
      </c>
      <c r="D209" t="s">
        <v>508</v>
      </c>
      <c r="E209" t="s">
        <v>509</v>
      </c>
      <c r="F209" t="s">
        <v>20</v>
      </c>
      <c r="G209" t="s">
        <v>21</v>
      </c>
      <c r="H209" s="1">
        <v>12000</v>
      </c>
      <c r="I209" s="1">
        <v>17605</v>
      </c>
      <c r="J209" s="1">
        <v>22800</v>
      </c>
      <c r="K209" s="1">
        <f t="shared" si="11"/>
        <v>1000</v>
      </c>
      <c r="L209" s="1">
        <f t="shared" si="11"/>
        <v>1467.0833333333333</v>
      </c>
      <c r="M209" s="1">
        <f t="shared" si="11"/>
        <v>1900</v>
      </c>
      <c r="N209" t="str">
        <f t="shared" si="9"/>
        <v>HAUTS-DE-FRANCE|60 - Oise|CC de l'Aire Cantilienne</v>
      </c>
      <c r="O209" s="1" t="str">
        <f t="shared" si="10"/>
        <v>HDF</v>
      </c>
    </row>
    <row r="210" spans="1:15" x14ac:dyDescent="0.25">
      <c r="A210" s="1" t="s">
        <v>455</v>
      </c>
      <c r="B210" t="s">
        <v>500</v>
      </c>
      <c r="C210" t="s">
        <v>501</v>
      </c>
      <c r="D210" t="s">
        <v>510</v>
      </c>
      <c r="E210" t="s">
        <v>511</v>
      </c>
      <c r="F210" t="s">
        <v>20</v>
      </c>
      <c r="G210" t="s">
        <v>21</v>
      </c>
      <c r="H210" s="1">
        <v>12024</v>
      </c>
      <c r="I210" s="1">
        <v>17280</v>
      </c>
      <c r="J210" s="1">
        <v>21773</v>
      </c>
      <c r="K210" s="1">
        <f t="shared" si="11"/>
        <v>1002</v>
      </c>
      <c r="L210" s="1">
        <f t="shared" si="11"/>
        <v>1440</v>
      </c>
      <c r="M210" s="1">
        <f t="shared" si="11"/>
        <v>1814.4166666666667</v>
      </c>
      <c r="N210" t="str">
        <f t="shared" si="9"/>
        <v>HAUTS-DE-FRANCE|60 - Oise|CC des Pays d'Oise et d'Halatte</v>
      </c>
      <c r="O210" s="1" t="str">
        <f t="shared" si="10"/>
        <v>HDF</v>
      </c>
    </row>
    <row r="211" spans="1:15" x14ac:dyDescent="0.25">
      <c r="A211" s="1" t="s">
        <v>455</v>
      </c>
      <c r="B211" t="s">
        <v>500</v>
      </c>
      <c r="C211" t="s">
        <v>501</v>
      </c>
      <c r="D211" t="s">
        <v>512</v>
      </c>
      <c r="E211" t="s">
        <v>513</v>
      </c>
      <c r="F211" t="s">
        <v>20</v>
      </c>
      <c r="G211" t="s">
        <v>21</v>
      </c>
      <c r="H211" s="1">
        <v>11021</v>
      </c>
      <c r="I211" s="1">
        <v>15372</v>
      </c>
      <c r="J211" s="1">
        <v>20280</v>
      </c>
      <c r="K211" s="1">
        <f t="shared" si="11"/>
        <v>918.41666666666663</v>
      </c>
      <c r="L211" s="1">
        <f t="shared" si="11"/>
        <v>1281</v>
      </c>
      <c r="M211" s="1">
        <f t="shared" si="11"/>
        <v>1690</v>
      </c>
      <c r="N211" t="str">
        <f t="shared" si="9"/>
        <v>HAUTS-DE-FRANCE|60 - Oise|CC des Sablons</v>
      </c>
      <c r="O211" s="1" t="str">
        <f t="shared" si="10"/>
        <v>HDF</v>
      </c>
    </row>
    <row r="212" spans="1:15" x14ac:dyDescent="0.25">
      <c r="A212" s="1" t="s">
        <v>455</v>
      </c>
      <c r="B212" t="s">
        <v>500</v>
      </c>
      <c r="C212" t="s">
        <v>501</v>
      </c>
      <c r="D212" t="s">
        <v>514</v>
      </c>
      <c r="E212" t="s">
        <v>515</v>
      </c>
      <c r="F212" t="s">
        <v>20</v>
      </c>
      <c r="G212" t="s">
        <v>21</v>
      </c>
      <c r="H212" s="1">
        <v>11648</v>
      </c>
      <c r="I212" s="1">
        <v>15808</v>
      </c>
      <c r="J212" s="1">
        <v>20448</v>
      </c>
      <c r="K212" s="1">
        <f t="shared" si="11"/>
        <v>970.66666666666663</v>
      </c>
      <c r="L212" s="1">
        <f t="shared" si="11"/>
        <v>1317.3333333333333</v>
      </c>
      <c r="M212" s="1">
        <f t="shared" si="11"/>
        <v>1704</v>
      </c>
      <c r="N212" t="str">
        <f t="shared" si="9"/>
        <v>HAUTS-DE-FRANCE|60 - Oise|CC du Clermontois</v>
      </c>
      <c r="O212" s="1" t="str">
        <f t="shared" si="10"/>
        <v>HDF</v>
      </c>
    </row>
    <row r="213" spans="1:15" x14ac:dyDescent="0.25">
      <c r="A213" s="1" t="s">
        <v>455</v>
      </c>
      <c r="B213" t="s">
        <v>500</v>
      </c>
      <c r="C213" t="s">
        <v>501</v>
      </c>
      <c r="D213" t="s">
        <v>516</v>
      </c>
      <c r="E213" t="s">
        <v>517</v>
      </c>
      <c r="F213" t="s">
        <v>20</v>
      </c>
      <c r="G213" t="s">
        <v>21</v>
      </c>
      <c r="H213" s="1">
        <v>12129</v>
      </c>
      <c r="I213" s="1">
        <v>16800</v>
      </c>
      <c r="J213" s="1">
        <v>21603</v>
      </c>
      <c r="K213" s="1">
        <f t="shared" si="11"/>
        <v>1010.75</v>
      </c>
      <c r="L213" s="1">
        <f t="shared" si="11"/>
        <v>1400</v>
      </c>
      <c r="M213" s="1">
        <f t="shared" si="11"/>
        <v>1800.25</v>
      </c>
      <c r="N213" t="str">
        <f t="shared" si="9"/>
        <v>HAUTS-DE-FRANCE|60 - Oise|CC du Pays de Valois</v>
      </c>
      <c r="O213" s="1" t="str">
        <f t="shared" si="10"/>
        <v>HDF</v>
      </c>
    </row>
    <row r="214" spans="1:15" x14ac:dyDescent="0.25">
      <c r="A214" s="1" t="s">
        <v>455</v>
      </c>
      <c r="B214" t="s">
        <v>500</v>
      </c>
      <c r="C214" t="s">
        <v>501</v>
      </c>
      <c r="D214" t="s">
        <v>518</v>
      </c>
      <c r="E214" t="s">
        <v>519</v>
      </c>
      <c r="F214" t="s">
        <v>20</v>
      </c>
      <c r="G214" t="s">
        <v>21</v>
      </c>
      <c r="H214" s="1">
        <v>7812</v>
      </c>
      <c r="I214" s="1">
        <v>12192</v>
      </c>
      <c r="J214" s="1">
        <v>16877</v>
      </c>
      <c r="K214" s="1">
        <f t="shared" si="11"/>
        <v>651</v>
      </c>
      <c r="L214" s="1">
        <f t="shared" si="11"/>
        <v>1016</v>
      </c>
      <c r="M214" s="1">
        <f t="shared" si="11"/>
        <v>1406.4166666666667</v>
      </c>
      <c r="N214" t="str">
        <f t="shared" si="9"/>
        <v>HAUTS-DE-FRANCE|60 - Oise|CC du Pays Noyonnais</v>
      </c>
      <c r="O214" s="1" t="str">
        <f t="shared" si="10"/>
        <v>HDF</v>
      </c>
    </row>
    <row r="215" spans="1:15" x14ac:dyDescent="0.25">
      <c r="A215" s="1" t="s">
        <v>455</v>
      </c>
      <c r="B215" t="s">
        <v>500</v>
      </c>
      <c r="C215" t="s">
        <v>501</v>
      </c>
      <c r="D215" t="s">
        <v>520</v>
      </c>
      <c r="E215" t="s">
        <v>521</v>
      </c>
      <c r="F215" t="s">
        <v>20</v>
      </c>
      <c r="G215" t="s">
        <v>21</v>
      </c>
      <c r="H215" s="1">
        <v>12192</v>
      </c>
      <c r="I215" s="1">
        <v>16800</v>
      </c>
      <c r="J215" s="1">
        <v>21444</v>
      </c>
      <c r="K215" s="1">
        <f t="shared" si="11"/>
        <v>1016</v>
      </c>
      <c r="L215" s="1">
        <f t="shared" si="11"/>
        <v>1400</v>
      </c>
      <c r="M215" s="1">
        <f t="shared" si="11"/>
        <v>1787</v>
      </c>
      <c r="N215" t="str">
        <f t="shared" si="9"/>
        <v>HAUTS-DE-FRANCE|60 - Oise|CC Thelloise</v>
      </c>
      <c r="O215" s="1" t="str">
        <f t="shared" si="10"/>
        <v>HDF</v>
      </c>
    </row>
    <row r="216" spans="1:15" x14ac:dyDescent="0.25">
      <c r="A216" s="1" t="s">
        <v>455</v>
      </c>
      <c r="B216" t="s">
        <v>522</v>
      </c>
      <c r="C216" t="s">
        <v>523</v>
      </c>
      <c r="D216" t="s">
        <v>524</v>
      </c>
      <c r="E216" t="s">
        <v>525</v>
      </c>
      <c r="F216" t="s">
        <v>20</v>
      </c>
      <c r="G216" t="s">
        <v>21</v>
      </c>
      <c r="H216" s="1">
        <v>8843</v>
      </c>
      <c r="I216" s="1">
        <v>12946</v>
      </c>
      <c r="J216" s="1">
        <v>18108</v>
      </c>
      <c r="K216" s="1">
        <f t="shared" si="11"/>
        <v>736.91666666666663</v>
      </c>
      <c r="L216" s="1">
        <f t="shared" si="11"/>
        <v>1078.8333333333333</v>
      </c>
      <c r="M216" s="1">
        <f t="shared" si="11"/>
        <v>1509</v>
      </c>
      <c r="N216" t="str">
        <f t="shared" si="9"/>
        <v>HAUTS-DE-FRANCE|62 - Pas-de-Calais|CA de Béthune-Bruay, Artois-Lys Romane</v>
      </c>
      <c r="O216" s="1" t="str">
        <f t="shared" si="10"/>
        <v>HDF</v>
      </c>
    </row>
    <row r="217" spans="1:15" x14ac:dyDescent="0.25">
      <c r="A217" s="1" t="s">
        <v>455</v>
      </c>
      <c r="B217" t="s">
        <v>522</v>
      </c>
      <c r="C217" t="s">
        <v>523</v>
      </c>
      <c r="D217" t="s">
        <v>526</v>
      </c>
      <c r="E217" t="s">
        <v>527</v>
      </c>
      <c r="F217" t="s">
        <v>20</v>
      </c>
      <c r="G217" t="s">
        <v>21</v>
      </c>
      <c r="H217" s="1">
        <v>8972</v>
      </c>
      <c r="I217" s="1">
        <v>13156</v>
      </c>
      <c r="J217" s="1">
        <v>18564</v>
      </c>
      <c r="K217" s="1">
        <f t="shared" si="11"/>
        <v>747.66666666666663</v>
      </c>
      <c r="L217" s="1">
        <f t="shared" si="11"/>
        <v>1096.3333333333333</v>
      </c>
      <c r="M217" s="1">
        <f t="shared" si="11"/>
        <v>1547</v>
      </c>
      <c r="N217" t="str">
        <f t="shared" si="9"/>
        <v>HAUTS-DE-FRANCE|62 - Pas-de-Calais|CA de Lens - Liévin</v>
      </c>
      <c r="O217" s="1" t="str">
        <f t="shared" si="10"/>
        <v>HDF</v>
      </c>
    </row>
    <row r="218" spans="1:15" x14ac:dyDescent="0.25">
      <c r="A218" s="1" t="s">
        <v>455</v>
      </c>
      <c r="B218" t="s">
        <v>522</v>
      </c>
      <c r="C218" t="s">
        <v>523</v>
      </c>
      <c r="D218" t="s">
        <v>528</v>
      </c>
      <c r="E218" t="s">
        <v>529</v>
      </c>
      <c r="F218" t="s">
        <v>20</v>
      </c>
      <c r="G218" t="s">
        <v>21</v>
      </c>
      <c r="H218" s="1">
        <v>10596</v>
      </c>
      <c r="I218" s="1">
        <v>14242</v>
      </c>
      <c r="J218" s="1">
        <v>19320</v>
      </c>
      <c r="K218" s="1">
        <f t="shared" si="11"/>
        <v>883</v>
      </c>
      <c r="L218" s="1">
        <f t="shared" si="11"/>
        <v>1186.8333333333333</v>
      </c>
      <c r="M218" s="1">
        <f t="shared" si="11"/>
        <v>1610</v>
      </c>
      <c r="N218" t="str">
        <f t="shared" si="9"/>
        <v>HAUTS-DE-FRANCE|62 - Pas-de-Calais|CA des Deux Baies en Montreuillois</v>
      </c>
      <c r="O218" s="1" t="str">
        <f t="shared" si="10"/>
        <v>HDF</v>
      </c>
    </row>
    <row r="219" spans="1:15" x14ac:dyDescent="0.25">
      <c r="A219" s="1" t="s">
        <v>455</v>
      </c>
      <c r="B219" t="s">
        <v>522</v>
      </c>
      <c r="C219" t="s">
        <v>523</v>
      </c>
      <c r="D219" t="s">
        <v>530</v>
      </c>
      <c r="E219" t="s">
        <v>531</v>
      </c>
      <c r="F219" t="s">
        <v>20</v>
      </c>
      <c r="G219" t="s">
        <v>21</v>
      </c>
      <c r="H219" s="1">
        <v>9452</v>
      </c>
      <c r="I219" s="1">
        <v>13525</v>
      </c>
      <c r="J219" s="1">
        <v>18720</v>
      </c>
      <c r="K219" s="1">
        <f t="shared" si="11"/>
        <v>787.66666666666663</v>
      </c>
      <c r="L219" s="1">
        <f t="shared" si="11"/>
        <v>1127.0833333333333</v>
      </c>
      <c r="M219" s="1">
        <f t="shared" si="11"/>
        <v>1560</v>
      </c>
      <c r="N219" t="str">
        <f t="shared" si="9"/>
        <v>HAUTS-DE-FRANCE|62 - Pas-de-Calais|CA d'Hénin-Carvin</v>
      </c>
      <c r="O219" s="1" t="str">
        <f t="shared" si="10"/>
        <v>HDF</v>
      </c>
    </row>
    <row r="220" spans="1:15" x14ac:dyDescent="0.25">
      <c r="A220" s="1" t="s">
        <v>455</v>
      </c>
      <c r="B220" t="s">
        <v>522</v>
      </c>
      <c r="C220" t="s">
        <v>523</v>
      </c>
      <c r="D220" t="s">
        <v>532</v>
      </c>
      <c r="E220" t="s">
        <v>533</v>
      </c>
      <c r="F220" t="s">
        <v>20</v>
      </c>
      <c r="G220" t="s">
        <v>21</v>
      </c>
      <c r="H220" s="1">
        <v>9354</v>
      </c>
      <c r="I220" s="1">
        <v>13524</v>
      </c>
      <c r="J220" s="1">
        <v>18720</v>
      </c>
      <c r="K220" s="1">
        <f t="shared" si="11"/>
        <v>779.5</v>
      </c>
      <c r="L220" s="1">
        <f t="shared" si="11"/>
        <v>1127</v>
      </c>
      <c r="M220" s="1">
        <f t="shared" si="11"/>
        <v>1560</v>
      </c>
      <c r="N220" t="str">
        <f t="shared" si="9"/>
        <v>HAUTS-DE-FRANCE|62 - Pas-de-Calais|CA du Boulonnais</v>
      </c>
      <c r="O220" s="1" t="str">
        <f t="shared" si="10"/>
        <v>HDF</v>
      </c>
    </row>
    <row r="221" spans="1:15" x14ac:dyDescent="0.25">
      <c r="A221" s="1" t="s">
        <v>455</v>
      </c>
      <c r="B221" t="s">
        <v>522</v>
      </c>
      <c r="C221" t="s">
        <v>523</v>
      </c>
      <c r="D221" t="s">
        <v>534</v>
      </c>
      <c r="E221" t="s">
        <v>535</v>
      </c>
      <c r="F221" t="s">
        <v>20</v>
      </c>
      <c r="G221" t="s">
        <v>21</v>
      </c>
      <c r="H221" s="1">
        <v>8697</v>
      </c>
      <c r="I221" s="1">
        <v>12542</v>
      </c>
      <c r="J221" s="1">
        <v>17348</v>
      </c>
      <c r="K221" s="1">
        <f t="shared" si="11"/>
        <v>724.75</v>
      </c>
      <c r="L221" s="1">
        <f t="shared" si="11"/>
        <v>1045.1666666666667</v>
      </c>
      <c r="M221" s="1">
        <f t="shared" si="11"/>
        <v>1445.6666666666667</v>
      </c>
      <c r="N221" t="str">
        <f t="shared" si="9"/>
        <v>HAUTS-DE-FRANCE|62 - Pas-de-Calais|CA du Pays de Saint-Omer</v>
      </c>
      <c r="O221" s="1" t="str">
        <f t="shared" si="10"/>
        <v>HDF</v>
      </c>
    </row>
    <row r="222" spans="1:15" x14ac:dyDescent="0.25">
      <c r="A222" s="1" t="s">
        <v>455</v>
      </c>
      <c r="B222" t="s">
        <v>522</v>
      </c>
      <c r="C222" t="s">
        <v>523</v>
      </c>
      <c r="D222" t="s">
        <v>536</v>
      </c>
      <c r="E222" t="s">
        <v>537</v>
      </c>
      <c r="F222" t="s">
        <v>20</v>
      </c>
      <c r="G222" t="s">
        <v>21</v>
      </c>
      <c r="H222" s="1">
        <v>8234</v>
      </c>
      <c r="I222" s="1">
        <v>12426</v>
      </c>
      <c r="J222" s="1">
        <v>17456</v>
      </c>
      <c r="K222" s="1">
        <f t="shared" si="11"/>
        <v>686.16666666666663</v>
      </c>
      <c r="L222" s="1">
        <f t="shared" si="11"/>
        <v>1035.5</v>
      </c>
      <c r="M222" s="1">
        <f t="shared" si="11"/>
        <v>1454.6666666666667</v>
      </c>
      <c r="N222" t="str">
        <f t="shared" si="9"/>
        <v>HAUTS-DE-FRANCE|62 - Pas-de-Calais|CA Grand Calais Terres et Mers</v>
      </c>
      <c r="O222" s="1" t="str">
        <f t="shared" si="10"/>
        <v>HDF</v>
      </c>
    </row>
    <row r="223" spans="1:15" x14ac:dyDescent="0.25">
      <c r="A223" s="1" t="s">
        <v>455</v>
      </c>
      <c r="B223" t="s">
        <v>522</v>
      </c>
      <c r="C223" t="s">
        <v>523</v>
      </c>
      <c r="D223" t="s">
        <v>538</v>
      </c>
      <c r="E223" t="s">
        <v>539</v>
      </c>
      <c r="F223" t="s">
        <v>20</v>
      </c>
      <c r="G223" t="s">
        <v>21</v>
      </c>
      <c r="H223" s="1">
        <v>9161</v>
      </c>
      <c r="I223" s="1">
        <v>13389</v>
      </c>
      <c r="J223" s="1">
        <v>18657</v>
      </c>
      <c r="K223" s="1">
        <f t="shared" si="11"/>
        <v>763.41666666666663</v>
      </c>
      <c r="L223" s="1">
        <f t="shared" si="11"/>
        <v>1115.75</v>
      </c>
      <c r="M223" s="1">
        <f t="shared" si="11"/>
        <v>1554.75</v>
      </c>
      <c r="N223" t="str">
        <f t="shared" si="9"/>
        <v>HAUTS-DE-FRANCE|62 - Pas-de-Calais|CU d'Arras</v>
      </c>
      <c r="O223" s="1" t="str">
        <f t="shared" si="10"/>
        <v>HDF</v>
      </c>
    </row>
    <row r="224" spans="1:15" x14ac:dyDescent="0.25">
      <c r="A224" s="1" t="s">
        <v>455</v>
      </c>
      <c r="B224" t="s">
        <v>540</v>
      </c>
      <c r="C224" t="s">
        <v>541</v>
      </c>
      <c r="D224" t="s">
        <v>542</v>
      </c>
      <c r="E224" t="s">
        <v>543</v>
      </c>
      <c r="F224" t="s">
        <v>20</v>
      </c>
      <c r="G224" t="s">
        <v>21</v>
      </c>
      <c r="H224" s="1">
        <v>9180</v>
      </c>
      <c r="I224" s="1">
        <v>13440</v>
      </c>
      <c r="J224" s="1">
        <v>18936</v>
      </c>
      <c r="K224" s="1">
        <f t="shared" si="11"/>
        <v>765</v>
      </c>
      <c r="L224" s="1">
        <f t="shared" si="11"/>
        <v>1120</v>
      </c>
      <c r="M224" s="1">
        <f t="shared" si="11"/>
        <v>1578</v>
      </c>
      <c r="N224" t="str">
        <f t="shared" si="9"/>
        <v>HAUTS-DE-FRANCE|80 - Somme|CA Amiens Métropole</v>
      </c>
      <c r="O224" s="1" t="str">
        <f t="shared" si="10"/>
        <v>HDF</v>
      </c>
    </row>
    <row r="225" spans="1:15" x14ac:dyDescent="0.25">
      <c r="A225" s="1" t="s">
        <v>455</v>
      </c>
      <c r="B225" t="s">
        <v>540</v>
      </c>
      <c r="C225" t="s">
        <v>541</v>
      </c>
      <c r="D225" t="s">
        <v>544</v>
      </c>
      <c r="E225" t="s">
        <v>545</v>
      </c>
      <c r="F225" t="s">
        <v>20</v>
      </c>
      <c r="G225" t="s">
        <v>21</v>
      </c>
      <c r="H225" s="1">
        <v>8700</v>
      </c>
      <c r="I225" s="1">
        <v>12384</v>
      </c>
      <c r="J225" s="1">
        <v>17088</v>
      </c>
      <c r="K225" s="1">
        <f t="shared" si="11"/>
        <v>725</v>
      </c>
      <c r="L225" s="1">
        <f t="shared" si="11"/>
        <v>1032</v>
      </c>
      <c r="M225" s="1">
        <f t="shared" si="11"/>
        <v>1424</v>
      </c>
      <c r="N225" t="str">
        <f t="shared" si="9"/>
        <v>HAUTS-DE-FRANCE|80 - Somme|CA de la Baie de Somme</v>
      </c>
      <c r="O225" s="1" t="str">
        <f t="shared" si="10"/>
        <v>HDF</v>
      </c>
    </row>
    <row r="226" spans="1:15" x14ac:dyDescent="0.25">
      <c r="A226" s="1" t="s">
        <v>546</v>
      </c>
      <c r="B226" t="s">
        <v>547</v>
      </c>
      <c r="C226" t="s">
        <v>548</v>
      </c>
      <c r="D226" t="s">
        <v>547</v>
      </c>
      <c r="E226" t="s">
        <v>549</v>
      </c>
      <c r="F226" t="s">
        <v>20</v>
      </c>
      <c r="G226" t="s">
        <v>21</v>
      </c>
      <c r="H226" s="1">
        <v>12000</v>
      </c>
      <c r="I226" s="1">
        <v>17600</v>
      </c>
      <c r="J226" s="1">
        <v>23202</v>
      </c>
      <c r="K226" s="1">
        <f t="shared" si="11"/>
        <v>1000</v>
      </c>
      <c r="L226" s="1">
        <f t="shared" si="11"/>
        <v>1466.6666666666667</v>
      </c>
      <c r="M226" s="1">
        <f t="shared" si="11"/>
        <v>1933.5</v>
      </c>
      <c r="N226" t="str">
        <f t="shared" si="9"/>
        <v>ÎLE-DE-FRANCE|75 - Paris|Paris</v>
      </c>
      <c r="O226" s="1" t="str">
        <f t="shared" si="10"/>
        <v>IDF</v>
      </c>
    </row>
    <row r="227" spans="1:15" x14ac:dyDescent="0.25">
      <c r="A227" s="1" t="s">
        <v>546</v>
      </c>
      <c r="B227" t="s">
        <v>550</v>
      </c>
      <c r="C227" t="s">
        <v>551</v>
      </c>
      <c r="D227" t="s">
        <v>552</v>
      </c>
      <c r="E227" t="s">
        <v>553</v>
      </c>
      <c r="F227" t="s">
        <v>20</v>
      </c>
      <c r="G227" t="s">
        <v>21</v>
      </c>
      <c r="H227" s="1">
        <v>12000</v>
      </c>
      <c r="I227" s="1">
        <v>17600</v>
      </c>
      <c r="J227" s="1">
        <v>23202</v>
      </c>
      <c r="K227" s="1">
        <f t="shared" si="11"/>
        <v>1000</v>
      </c>
      <c r="L227" s="1">
        <f t="shared" si="11"/>
        <v>1466.6666666666667</v>
      </c>
      <c r="M227" s="1">
        <f t="shared" si="11"/>
        <v>1933.5</v>
      </c>
      <c r="N227" t="str">
        <f t="shared" si="9"/>
        <v>ÎLE-DE-FRANCE|77 - Seine-et-Marne|CA Coulommiers Pays de Brie</v>
      </c>
      <c r="O227" s="1" t="str">
        <f t="shared" si="10"/>
        <v>IDF</v>
      </c>
    </row>
    <row r="228" spans="1:15" x14ac:dyDescent="0.25">
      <c r="A228" s="1" t="s">
        <v>546</v>
      </c>
      <c r="B228" t="s">
        <v>550</v>
      </c>
      <c r="C228" t="s">
        <v>551</v>
      </c>
      <c r="D228" t="s">
        <v>554</v>
      </c>
      <c r="E228" t="s">
        <v>555</v>
      </c>
      <c r="F228" t="s">
        <v>20</v>
      </c>
      <c r="G228" t="s">
        <v>21</v>
      </c>
      <c r="H228" s="1">
        <v>12000</v>
      </c>
      <c r="I228" s="1">
        <v>17600</v>
      </c>
      <c r="J228" s="1">
        <v>23202</v>
      </c>
      <c r="K228" s="1">
        <f t="shared" si="11"/>
        <v>1000</v>
      </c>
      <c r="L228" s="1">
        <f t="shared" si="11"/>
        <v>1466.6666666666667</v>
      </c>
      <c r="M228" s="1">
        <f t="shared" si="11"/>
        <v>1933.5</v>
      </c>
      <c r="N228" t="str">
        <f t="shared" si="9"/>
        <v>ÎLE-DE-FRANCE|77 - Seine-et-Marne|CA du Pays de Fontainebleau</v>
      </c>
      <c r="O228" s="1" t="str">
        <f t="shared" si="10"/>
        <v>IDF</v>
      </c>
    </row>
    <row r="229" spans="1:15" x14ac:dyDescent="0.25">
      <c r="A229" s="1" t="s">
        <v>546</v>
      </c>
      <c r="B229" t="s">
        <v>550</v>
      </c>
      <c r="C229" t="s">
        <v>551</v>
      </c>
      <c r="D229" t="s">
        <v>556</v>
      </c>
      <c r="E229" t="s">
        <v>557</v>
      </c>
      <c r="F229" t="s">
        <v>20</v>
      </c>
      <c r="G229" t="s">
        <v>21</v>
      </c>
      <c r="H229" s="1">
        <v>12000</v>
      </c>
      <c r="I229" s="1">
        <v>17600</v>
      </c>
      <c r="J229" s="1">
        <v>23202</v>
      </c>
      <c r="K229" s="1">
        <f t="shared" si="11"/>
        <v>1000</v>
      </c>
      <c r="L229" s="1">
        <f t="shared" si="11"/>
        <v>1466.6666666666667</v>
      </c>
      <c r="M229" s="1">
        <f t="shared" si="11"/>
        <v>1933.5</v>
      </c>
      <c r="N229" t="str">
        <f t="shared" si="9"/>
        <v>ÎLE-DE-FRANCE|77 - Seine-et-Marne|CA du Pays de Meaux</v>
      </c>
      <c r="O229" s="1" t="str">
        <f t="shared" si="10"/>
        <v>IDF</v>
      </c>
    </row>
    <row r="230" spans="1:15" x14ac:dyDescent="0.25">
      <c r="A230" s="1" t="s">
        <v>546</v>
      </c>
      <c r="B230" t="s">
        <v>550</v>
      </c>
      <c r="C230" t="s">
        <v>551</v>
      </c>
      <c r="D230" t="s">
        <v>558</v>
      </c>
      <c r="E230" t="s">
        <v>559</v>
      </c>
      <c r="F230" t="s">
        <v>20</v>
      </c>
      <c r="G230" t="s">
        <v>21</v>
      </c>
      <c r="H230" s="1">
        <v>12000</v>
      </c>
      <c r="I230" s="1">
        <v>17600</v>
      </c>
      <c r="J230" s="1">
        <v>23202</v>
      </c>
      <c r="K230" s="1">
        <f t="shared" si="11"/>
        <v>1000</v>
      </c>
      <c r="L230" s="1">
        <f t="shared" si="11"/>
        <v>1466.6666666666667</v>
      </c>
      <c r="M230" s="1">
        <f t="shared" si="11"/>
        <v>1933.5</v>
      </c>
      <c r="N230" t="str">
        <f t="shared" si="9"/>
        <v>ÎLE-DE-FRANCE|77 - Seine-et-Marne|CA Grand Paris Sud Seine Essonne Sénart</v>
      </c>
      <c r="O230" s="1" t="str">
        <f t="shared" si="10"/>
        <v>IDF</v>
      </c>
    </row>
    <row r="231" spans="1:15" x14ac:dyDescent="0.25">
      <c r="A231" s="1" t="s">
        <v>546</v>
      </c>
      <c r="B231" t="s">
        <v>550</v>
      </c>
      <c r="C231" t="s">
        <v>551</v>
      </c>
      <c r="D231" t="s">
        <v>560</v>
      </c>
      <c r="E231" t="s">
        <v>561</v>
      </c>
      <c r="F231" t="s">
        <v>20</v>
      </c>
      <c r="G231" t="s">
        <v>21</v>
      </c>
      <c r="H231" s="1">
        <v>12000</v>
      </c>
      <c r="I231" s="1">
        <v>17600</v>
      </c>
      <c r="J231" s="1">
        <v>23202</v>
      </c>
      <c r="K231" s="1">
        <f t="shared" si="11"/>
        <v>1000</v>
      </c>
      <c r="L231" s="1">
        <f t="shared" si="11"/>
        <v>1466.6666666666667</v>
      </c>
      <c r="M231" s="1">
        <f t="shared" si="11"/>
        <v>1933.5</v>
      </c>
      <c r="N231" t="str">
        <f t="shared" si="9"/>
        <v>ÎLE-DE-FRANCE|77 - Seine-et-Marne|CA Marne et Gondoire</v>
      </c>
      <c r="O231" s="1" t="str">
        <f t="shared" si="10"/>
        <v>IDF</v>
      </c>
    </row>
    <row r="232" spans="1:15" x14ac:dyDescent="0.25">
      <c r="A232" s="1" t="s">
        <v>546</v>
      </c>
      <c r="B232" t="s">
        <v>550</v>
      </c>
      <c r="C232" t="s">
        <v>551</v>
      </c>
      <c r="D232" t="s">
        <v>562</v>
      </c>
      <c r="E232" t="s">
        <v>563</v>
      </c>
      <c r="F232" t="s">
        <v>20</v>
      </c>
      <c r="G232" t="s">
        <v>21</v>
      </c>
      <c r="H232" s="1">
        <v>12000</v>
      </c>
      <c r="I232" s="1">
        <v>17600</v>
      </c>
      <c r="J232" s="1">
        <v>23202</v>
      </c>
      <c r="K232" s="1">
        <f t="shared" si="11"/>
        <v>1000</v>
      </c>
      <c r="L232" s="1">
        <f t="shared" si="11"/>
        <v>1466.6666666666667</v>
      </c>
      <c r="M232" s="1">
        <f t="shared" si="11"/>
        <v>1933.5</v>
      </c>
      <c r="N232" t="str">
        <f t="shared" si="9"/>
        <v>ÎLE-DE-FRANCE|77 - Seine-et-Marne|CA Melun Val de Seine</v>
      </c>
      <c r="O232" s="1" t="str">
        <f t="shared" si="10"/>
        <v>IDF</v>
      </c>
    </row>
    <row r="233" spans="1:15" x14ac:dyDescent="0.25">
      <c r="A233" s="1" t="s">
        <v>546</v>
      </c>
      <c r="B233" t="s">
        <v>550</v>
      </c>
      <c r="C233" t="s">
        <v>551</v>
      </c>
      <c r="D233" t="s">
        <v>564</v>
      </c>
      <c r="E233" t="s">
        <v>565</v>
      </c>
      <c r="F233" t="s">
        <v>20</v>
      </c>
      <c r="G233" t="s">
        <v>21</v>
      </c>
      <c r="H233" s="1">
        <v>12000</v>
      </c>
      <c r="I233" s="1">
        <v>17600</v>
      </c>
      <c r="J233" s="1">
        <v>23202</v>
      </c>
      <c r="K233" s="1">
        <f t="shared" si="11"/>
        <v>1000</v>
      </c>
      <c r="L233" s="1">
        <f t="shared" si="11"/>
        <v>1466.6666666666667</v>
      </c>
      <c r="M233" s="1">
        <f t="shared" si="11"/>
        <v>1933.5</v>
      </c>
      <c r="N233" t="str">
        <f t="shared" si="9"/>
        <v>ÎLE-DE-FRANCE|77 - Seine-et-Marne|CA Paris - Vallée de la Marne</v>
      </c>
      <c r="O233" s="1" t="str">
        <f t="shared" si="10"/>
        <v>IDF</v>
      </c>
    </row>
    <row r="234" spans="1:15" x14ac:dyDescent="0.25">
      <c r="A234" s="1" t="s">
        <v>546</v>
      </c>
      <c r="B234" t="s">
        <v>550</v>
      </c>
      <c r="C234" t="s">
        <v>551</v>
      </c>
      <c r="D234" t="s">
        <v>566</v>
      </c>
      <c r="E234" t="s">
        <v>567</v>
      </c>
      <c r="F234" t="s">
        <v>20</v>
      </c>
      <c r="G234" t="s">
        <v>21</v>
      </c>
      <c r="H234" s="1">
        <v>12000</v>
      </c>
      <c r="I234" s="1">
        <v>17600</v>
      </c>
      <c r="J234" s="1">
        <v>23202</v>
      </c>
      <c r="K234" s="1">
        <f t="shared" si="11"/>
        <v>1000</v>
      </c>
      <c r="L234" s="1">
        <f t="shared" si="11"/>
        <v>1466.6666666666667</v>
      </c>
      <c r="M234" s="1">
        <f t="shared" si="11"/>
        <v>1933.5</v>
      </c>
      <c r="N234" t="str">
        <f t="shared" si="9"/>
        <v>ÎLE-DE-FRANCE|77 - Seine-et-Marne|CA Roissy Pays de France</v>
      </c>
      <c r="O234" s="1" t="str">
        <f t="shared" si="10"/>
        <v>IDF</v>
      </c>
    </row>
    <row r="235" spans="1:15" x14ac:dyDescent="0.25">
      <c r="A235" s="1" t="s">
        <v>546</v>
      </c>
      <c r="B235" t="s">
        <v>550</v>
      </c>
      <c r="C235" t="s">
        <v>551</v>
      </c>
      <c r="D235" t="s">
        <v>568</v>
      </c>
      <c r="E235" t="s">
        <v>569</v>
      </c>
      <c r="F235" t="s">
        <v>20</v>
      </c>
      <c r="G235" t="s">
        <v>21</v>
      </c>
      <c r="H235" s="1">
        <v>12000</v>
      </c>
      <c r="I235" s="1">
        <v>17600</v>
      </c>
      <c r="J235" s="1">
        <v>23202</v>
      </c>
      <c r="K235" s="1">
        <f t="shared" si="11"/>
        <v>1000</v>
      </c>
      <c r="L235" s="1">
        <f t="shared" si="11"/>
        <v>1466.6666666666667</v>
      </c>
      <c r="M235" s="1">
        <f t="shared" si="11"/>
        <v>1933.5</v>
      </c>
      <c r="N235" t="str">
        <f t="shared" si="9"/>
        <v>ÎLE-DE-FRANCE|77 - Seine-et-Marne|CA Val d'Europe Agglomération</v>
      </c>
      <c r="O235" s="1" t="str">
        <f t="shared" si="10"/>
        <v>IDF</v>
      </c>
    </row>
    <row r="236" spans="1:15" x14ac:dyDescent="0.25">
      <c r="A236" s="1" t="s">
        <v>546</v>
      </c>
      <c r="B236" t="s">
        <v>550</v>
      </c>
      <c r="C236" t="s">
        <v>551</v>
      </c>
      <c r="D236" t="s">
        <v>570</v>
      </c>
      <c r="E236" t="s">
        <v>571</v>
      </c>
      <c r="F236" t="s">
        <v>20</v>
      </c>
      <c r="G236" t="s">
        <v>21</v>
      </c>
      <c r="H236" s="1">
        <v>12000</v>
      </c>
      <c r="I236" s="1">
        <v>17600</v>
      </c>
      <c r="J236" s="1">
        <v>23202</v>
      </c>
      <c r="K236" s="1">
        <f t="shared" si="11"/>
        <v>1000</v>
      </c>
      <c r="L236" s="1">
        <f t="shared" si="11"/>
        <v>1466.6666666666667</v>
      </c>
      <c r="M236" s="1">
        <f t="shared" si="11"/>
        <v>1933.5</v>
      </c>
      <c r="N236" t="str">
        <f t="shared" si="9"/>
        <v>ÎLE-DE-FRANCE|77 - Seine-et-Marne|CC du Provinois</v>
      </c>
      <c r="O236" s="1" t="str">
        <f t="shared" si="10"/>
        <v>IDF</v>
      </c>
    </row>
    <row r="237" spans="1:15" x14ac:dyDescent="0.25">
      <c r="A237" s="1" t="s">
        <v>546</v>
      </c>
      <c r="B237" t="s">
        <v>550</v>
      </c>
      <c r="C237" t="s">
        <v>551</v>
      </c>
      <c r="D237" t="s">
        <v>572</v>
      </c>
      <c r="E237" t="s">
        <v>573</v>
      </c>
      <c r="F237" t="s">
        <v>20</v>
      </c>
      <c r="G237" t="s">
        <v>21</v>
      </c>
      <c r="H237" s="1">
        <v>12000</v>
      </c>
      <c r="I237" s="1">
        <v>17600</v>
      </c>
      <c r="J237" s="1">
        <v>23202</v>
      </c>
      <c r="K237" s="1">
        <f t="shared" si="11"/>
        <v>1000</v>
      </c>
      <c r="L237" s="1">
        <f t="shared" si="11"/>
        <v>1466.6666666666667</v>
      </c>
      <c r="M237" s="1">
        <f t="shared" si="11"/>
        <v>1933.5</v>
      </c>
      <c r="N237" t="str">
        <f t="shared" si="9"/>
        <v>ÎLE-DE-FRANCE|77 - Seine-et-Marne|CC Moret Seine et Loing</v>
      </c>
      <c r="O237" s="1" t="str">
        <f t="shared" si="10"/>
        <v>IDF</v>
      </c>
    </row>
    <row r="238" spans="1:15" x14ac:dyDescent="0.25">
      <c r="A238" s="1" t="s">
        <v>546</v>
      </c>
      <c r="B238" t="s">
        <v>550</v>
      </c>
      <c r="C238" t="s">
        <v>551</v>
      </c>
      <c r="D238" t="s">
        <v>574</v>
      </c>
      <c r="E238" t="s">
        <v>575</v>
      </c>
      <c r="F238" t="s">
        <v>20</v>
      </c>
      <c r="G238" t="s">
        <v>21</v>
      </c>
      <c r="H238" s="1">
        <v>12000</v>
      </c>
      <c r="I238" s="1">
        <v>17600</v>
      </c>
      <c r="J238" s="1">
        <v>23202</v>
      </c>
      <c r="K238" s="1">
        <f t="shared" si="11"/>
        <v>1000</v>
      </c>
      <c r="L238" s="1">
        <f t="shared" si="11"/>
        <v>1466.6666666666667</v>
      </c>
      <c r="M238" s="1">
        <f t="shared" si="11"/>
        <v>1933.5</v>
      </c>
      <c r="N238" t="str">
        <f t="shared" si="9"/>
        <v>ÎLE-DE-FRANCE|77 - Seine-et-Marne|CC Pays de Montereau</v>
      </c>
      <c r="O238" s="1" t="str">
        <f t="shared" si="10"/>
        <v>IDF</v>
      </c>
    </row>
    <row r="239" spans="1:15" x14ac:dyDescent="0.25">
      <c r="A239" s="1" t="s">
        <v>546</v>
      </c>
      <c r="B239" t="s">
        <v>550</v>
      </c>
      <c r="C239" t="s">
        <v>551</v>
      </c>
      <c r="D239" t="s">
        <v>576</v>
      </c>
      <c r="E239" t="s">
        <v>577</v>
      </c>
      <c r="F239" t="s">
        <v>20</v>
      </c>
      <c r="G239" t="s">
        <v>21</v>
      </c>
      <c r="H239" s="1">
        <v>12000</v>
      </c>
      <c r="I239" s="1">
        <v>17600</v>
      </c>
      <c r="J239" s="1">
        <v>23202</v>
      </c>
      <c r="K239" s="1">
        <f t="shared" si="11"/>
        <v>1000</v>
      </c>
      <c r="L239" s="1">
        <f t="shared" si="11"/>
        <v>1466.6666666666667</v>
      </c>
      <c r="M239" s="1">
        <f t="shared" si="11"/>
        <v>1933.5</v>
      </c>
      <c r="N239" t="str">
        <f t="shared" si="9"/>
        <v>ÎLE-DE-FRANCE|77 - Seine-et-Marne|CC Pays de Nemours</v>
      </c>
      <c r="O239" s="1" t="str">
        <f t="shared" si="10"/>
        <v>IDF</v>
      </c>
    </row>
    <row r="240" spans="1:15" x14ac:dyDescent="0.25">
      <c r="A240" s="1" t="s">
        <v>546</v>
      </c>
      <c r="B240" t="s">
        <v>578</v>
      </c>
      <c r="C240" t="s">
        <v>579</v>
      </c>
      <c r="D240" t="s">
        <v>580</v>
      </c>
      <c r="E240" t="s">
        <v>581</v>
      </c>
      <c r="F240" t="s">
        <v>20</v>
      </c>
      <c r="G240" t="s">
        <v>21</v>
      </c>
      <c r="H240" s="1">
        <v>12000</v>
      </c>
      <c r="I240" s="1">
        <v>17600</v>
      </c>
      <c r="J240" s="1">
        <v>23202</v>
      </c>
      <c r="K240" s="1">
        <f t="shared" si="11"/>
        <v>1000</v>
      </c>
      <c r="L240" s="1">
        <f t="shared" si="11"/>
        <v>1466.6666666666667</v>
      </c>
      <c r="M240" s="1">
        <f t="shared" si="11"/>
        <v>1933.5</v>
      </c>
      <c r="N240" t="str">
        <f t="shared" si="9"/>
        <v>ÎLE-DE-FRANCE|78 - Yvelines|CA de Cergy-Pontoise</v>
      </c>
      <c r="O240" s="1" t="str">
        <f t="shared" si="10"/>
        <v>IDF</v>
      </c>
    </row>
    <row r="241" spans="1:15" x14ac:dyDescent="0.25">
      <c r="A241" s="1" t="s">
        <v>546</v>
      </c>
      <c r="B241" t="s">
        <v>578</v>
      </c>
      <c r="C241" t="s">
        <v>579</v>
      </c>
      <c r="D241" t="s">
        <v>582</v>
      </c>
      <c r="E241" t="s">
        <v>583</v>
      </c>
      <c r="F241" t="s">
        <v>20</v>
      </c>
      <c r="G241" t="s">
        <v>21</v>
      </c>
      <c r="H241" s="1">
        <v>12000</v>
      </c>
      <c r="I241" s="1">
        <v>17600</v>
      </c>
      <c r="J241" s="1">
        <v>23202</v>
      </c>
      <c r="K241" s="1">
        <f t="shared" si="11"/>
        <v>1000</v>
      </c>
      <c r="L241" s="1">
        <f t="shared" si="11"/>
        <v>1466.6666666666667</v>
      </c>
      <c r="M241" s="1">
        <f t="shared" si="11"/>
        <v>1933.5</v>
      </c>
      <c r="N241" t="str">
        <f t="shared" si="9"/>
        <v>ÎLE-DE-FRANCE|78 - Yvelines|CA de Saint Quentin en Yvelines</v>
      </c>
      <c r="O241" s="1" t="str">
        <f t="shared" si="10"/>
        <v>IDF</v>
      </c>
    </row>
    <row r="242" spans="1:15" x14ac:dyDescent="0.25">
      <c r="A242" s="1" t="s">
        <v>546</v>
      </c>
      <c r="B242" t="s">
        <v>578</v>
      </c>
      <c r="C242" t="s">
        <v>579</v>
      </c>
      <c r="D242" t="s">
        <v>584</v>
      </c>
      <c r="E242" t="s">
        <v>585</v>
      </c>
      <c r="F242" t="s">
        <v>20</v>
      </c>
      <c r="G242" t="s">
        <v>21</v>
      </c>
      <c r="H242" s="1">
        <v>12000</v>
      </c>
      <c r="I242" s="1">
        <v>17600</v>
      </c>
      <c r="J242" s="1">
        <v>23202</v>
      </c>
      <c r="K242" s="1">
        <f t="shared" si="11"/>
        <v>1000</v>
      </c>
      <c r="L242" s="1">
        <f t="shared" si="11"/>
        <v>1466.6666666666667</v>
      </c>
      <c r="M242" s="1">
        <f t="shared" si="11"/>
        <v>1933.5</v>
      </c>
      <c r="N242" t="str">
        <f t="shared" si="9"/>
        <v>ÎLE-DE-FRANCE|78 - Yvelines|CA Rambouillet Territoires</v>
      </c>
      <c r="O242" s="1" t="str">
        <f t="shared" si="10"/>
        <v>IDF</v>
      </c>
    </row>
    <row r="243" spans="1:15" x14ac:dyDescent="0.25">
      <c r="A243" s="1" t="s">
        <v>546</v>
      </c>
      <c r="B243" t="s">
        <v>578</v>
      </c>
      <c r="C243" t="s">
        <v>579</v>
      </c>
      <c r="D243" t="s">
        <v>586</v>
      </c>
      <c r="E243" t="s">
        <v>587</v>
      </c>
      <c r="F243" t="s">
        <v>20</v>
      </c>
      <c r="G243" t="s">
        <v>21</v>
      </c>
      <c r="H243" s="1">
        <v>12000</v>
      </c>
      <c r="I243" s="1">
        <v>17600</v>
      </c>
      <c r="J243" s="1">
        <v>23202</v>
      </c>
      <c r="K243" s="1">
        <f t="shared" si="11"/>
        <v>1000</v>
      </c>
      <c r="L243" s="1">
        <f t="shared" si="11"/>
        <v>1466.6666666666667</v>
      </c>
      <c r="M243" s="1">
        <f t="shared" si="11"/>
        <v>1933.5</v>
      </c>
      <c r="N243" t="str">
        <f t="shared" si="9"/>
        <v>ÎLE-DE-FRANCE|78 - Yvelines|CA Saint Germain Boucles de Seine</v>
      </c>
      <c r="O243" s="1" t="str">
        <f t="shared" si="10"/>
        <v>IDF</v>
      </c>
    </row>
    <row r="244" spans="1:15" x14ac:dyDescent="0.25">
      <c r="A244" s="1" t="s">
        <v>546</v>
      </c>
      <c r="B244" t="s">
        <v>578</v>
      </c>
      <c r="C244" t="s">
        <v>579</v>
      </c>
      <c r="D244" t="s">
        <v>588</v>
      </c>
      <c r="E244" t="s">
        <v>589</v>
      </c>
      <c r="F244" t="s">
        <v>20</v>
      </c>
      <c r="G244" t="s">
        <v>21</v>
      </c>
      <c r="H244" s="1">
        <v>12000</v>
      </c>
      <c r="I244" s="1">
        <v>17600</v>
      </c>
      <c r="J244" s="1">
        <v>23202</v>
      </c>
      <c r="K244" s="1">
        <f t="shared" si="11"/>
        <v>1000</v>
      </c>
      <c r="L244" s="1">
        <f t="shared" si="11"/>
        <v>1466.6666666666667</v>
      </c>
      <c r="M244" s="1">
        <f t="shared" si="11"/>
        <v>1933.5</v>
      </c>
      <c r="N244" t="str">
        <f t="shared" si="9"/>
        <v>ÎLE-DE-FRANCE|78 - Yvelines|CA Versailles Grand Parc (CAVGP)</v>
      </c>
      <c r="O244" s="1" t="str">
        <f t="shared" si="10"/>
        <v>IDF</v>
      </c>
    </row>
    <row r="245" spans="1:15" x14ac:dyDescent="0.25">
      <c r="A245" s="1" t="s">
        <v>546</v>
      </c>
      <c r="B245" t="s">
        <v>578</v>
      </c>
      <c r="C245" t="s">
        <v>579</v>
      </c>
      <c r="D245" t="s">
        <v>590</v>
      </c>
      <c r="E245" t="s">
        <v>591</v>
      </c>
      <c r="F245" t="s">
        <v>20</v>
      </c>
      <c r="G245" t="s">
        <v>21</v>
      </c>
      <c r="H245" s="1">
        <v>12000</v>
      </c>
      <c r="I245" s="1">
        <v>17600</v>
      </c>
      <c r="J245" s="1">
        <v>23202</v>
      </c>
      <c r="K245" s="1">
        <f t="shared" si="11"/>
        <v>1000</v>
      </c>
      <c r="L245" s="1">
        <f t="shared" si="11"/>
        <v>1466.6666666666667</v>
      </c>
      <c r="M245" s="1">
        <f t="shared" si="11"/>
        <v>1933.5</v>
      </c>
      <c r="N245" t="str">
        <f t="shared" si="9"/>
        <v>ÎLE-DE-FRANCE|78 - Yvelines|CU Grand Paris Seine et Oise</v>
      </c>
      <c r="O245" s="1" t="str">
        <f t="shared" si="10"/>
        <v>IDF</v>
      </c>
    </row>
    <row r="246" spans="1:15" x14ac:dyDescent="0.25">
      <c r="A246" s="1" t="s">
        <v>546</v>
      </c>
      <c r="B246" t="s">
        <v>592</v>
      </c>
      <c r="C246" t="s">
        <v>593</v>
      </c>
      <c r="D246" t="s">
        <v>594</v>
      </c>
      <c r="E246" t="s">
        <v>595</v>
      </c>
      <c r="F246" t="s">
        <v>20</v>
      </c>
      <c r="G246" t="s">
        <v>21</v>
      </c>
      <c r="H246" s="1">
        <v>12000</v>
      </c>
      <c r="I246" s="1">
        <v>17600</v>
      </c>
      <c r="J246" s="1">
        <v>23202</v>
      </c>
      <c r="K246" s="1">
        <f t="shared" si="11"/>
        <v>1000</v>
      </c>
      <c r="L246" s="1">
        <f t="shared" si="11"/>
        <v>1466.6666666666667</v>
      </c>
      <c r="M246" s="1">
        <f t="shared" si="11"/>
        <v>1933.5</v>
      </c>
      <c r="N246" t="str">
        <f t="shared" si="9"/>
        <v>ÎLE-DE-FRANCE|91 - Essonne|CA Coeur d'Essonne Agglomération</v>
      </c>
      <c r="O246" s="1" t="str">
        <f t="shared" si="10"/>
        <v>IDF</v>
      </c>
    </row>
    <row r="247" spans="1:15" x14ac:dyDescent="0.25">
      <c r="A247" s="1" t="s">
        <v>546</v>
      </c>
      <c r="B247" t="s">
        <v>592</v>
      </c>
      <c r="C247" t="s">
        <v>593</v>
      </c>
      <c r="D247" t="s">
        <v>596</v>
      </c>
      <c r="E247" t="s">
        <v>597</v>
      </c>
      <c r="F247" t="s">
        <v>20</v>
      </c>
      <c r="G247" t="s">
        <v>21</v>
      </c>
      <c r="H247" s="1">
        <v>12000</v>
      </c>
      <c r="I247" s="1">
        <v>17600</v>
      </c>
      <c r="J247" s="1">
        <v>23202</v>
      </c>
      <c r="K247" s="1">
        <f t="shared" si="11"/>
        <v>1000</v>
      </c>
      <c r="L247" s="1">
        <f t="shared" si="11"/>
        <v>1466.6666666666667</v>
      </c>
      <c r="M247" s="1">
        <f t="shared" si="11"/>
        <v>1933.5</v>
      </c>
      <c r="N247" t="str">
        <f t="shared" si="9"/>
        <v>ÎLE-DE-FRANCE|91 - Essonne|CA Communauté Paris-Saclay</v>
      </c>
      <c r="O247" s="1" t="str">
        <f t="shared" si="10"/>
        <v>IDF</v>
      </c>
    </row>
    <row r="248" spans="1:15" x14ac:dyDescent="0.25">
      <c r="A248" s="1" t="s">
        <v>546</v>
      </c>
      <c r="B248" t="s">
        <v>592</v>
      </c>
      <c r="C248" t="s">
        <v>593</v>
      </c>
      <c r="D248" t="s">
        <v>598</v>
      </c>
      <c r="E248" t="s">
        <v>599</v>
      </c>
      <c r="F248" t="s">
        <v>20</v>
      </c>
      <c r="G248" t="s">
        <v>21</v>
      </c>
      <c r="H248" s="1">
        <v>12000</v>
      </c>
      <c r="I248" s="1">
        <v>17600</v>
      </c>
      <c r="J248" s="1">
        <v>23202</v>
      </c>
      <c r="K248" s="1">
        <f t="shared" si="11"/>
        <v>1000</v>
      </c>
      <c r="L248" s="1">
        <f t="shared" si="11"/>
        <v>1466.6666666666667</v>
      </c>
      <c r="M248" s="1">
        <f t="shared" si="11"/>
        <v>1933.5</v>
      </c>
      <c r="N248" t="str">
        <f t="shared" si="9"/>
        <v>ÎLE-DE-FRANCE|91 - Essonne|CA Étampois Sud Essonne</v>
      </c>
      <c r="O248" s="1" t="str">
        <f t="shared" si="10"/>
        <v>IDF</v>
      </c>
    </row>
    <row r="249" spans="1:15" x14ac:dyDescent="0.25">
      <c r="A249" s="1" t="s">
        <v>546</v>
      </c>
      <c r="B249" t="s">
        <v>592</v>
      </c>
      <c r="C249" t="s">
        <v>593</v>
      </c>
      <c r="D249" t="s">
        <v>558</v>
      </c>
      <c r="E249" t="s">
        <v>559</v>
      </c>
      <c r="F249" t="s">
        <v>20</v>
      </c>
      <c r="G249" t="s">
        <v>21</v>
      </c>
      <c r="H249" s="1">
        <v>12000</v>
      </c>
      <c r="I249" s="1">
        <v>17600</v>
      </c>
      <c r="J249" s="1">
        <v>23202</v>
      </c>
      <c r="K249" s="1">
        <f t="shared" si="11"/>
        <v>1000</v>
      </c>
      <c r="L249" s="1">
        <f t="shared" si="11"/>
        <v>1466.6666666666667</v>
      </c>
      <c r="M249" s="1">
        <f t="shared" si="11"/>
        <v>1933.5</v>
      </c>
      <c r="N249" t="str">
        <f t="shared" si="9"/>
        <v>ÎLE-DE-FRANCE|91 - Essonne|CA Grand Paris Sud Seine Essonne Sénart</v>
      </c>
      <c r="O249" s="1" t="str">
        <f t="shared" si="10"/>
        <v>IDF</v>
      </c>
    </row>
    <row r="250" spans="1:15" x14ac:dyDescent="0.25">
      <c r="A250" s="1" t="s">
        <v>546</v>
      </c>
      <c r="B250" t="s">
        <v>592</v>
      </c>
      <c r="C250" t="s">
        <v>593</v>
      </c>
      <c r="D250" t="s">
        <v>600</v>
      </c>
      <c r="E250" t="s">
        <v>601</v>
      </c>
      <c r="F250" t="s">
        <v>20</v>
      </c>
      <c r="G250" t="s">
        <v>21</v>
      </c>
      <c r="H250" s="1">
        <v>12000</v>
      </c>
      <c r="I250" s="1">
        <v>17600</v>
      </c>
      <c r="J250" s="1">
        <v>23202</v>
      </c>
      <c r="K250" s="1">
        <f t="shared" si="11"/>
        <v>1000</v>
      </c>
      <c r="L250" s="1">
        <f t="shared" si="11"/>
        <v>1466.6666666666667</v>
      </c>
      <c r="M250" s="1">
        <f t="shared" si="11"/>
        <v>1933.5</v>
      </c>
      <c r="N250" t="str">
        <f t="shared" si="9"/>
        <v>ÎLE-DE-FRANCE|91 - Essonne|CA Val d'Yerres Val de Seine</v>
      </c>
      <c r="O250" s="1" t="str">
        <f t="shared" si="10"/>
        <v>IDF</v>
      </c>
    </row>
    <row r="251" spans="1:15" x14ac:dyDescent="0.25">
      <c r="A251" s="1" t="s">
        <v>546</v>
      </c>
      <c r="B251" t="s">
        <v>592</v>
      </c>
      <c r="C251" t="s">
        <v>593</v>
      </c>
      <c r="D251" t="s">
        <v>588</v>
      </c>
      <c r="E251" t="s">
        <v>589</v>
      </c>
      <c r="F251" t="s">
        <v>20</v>
      </c>
      <c r="G251" t="s">
        <v>21</v>
      </c>
      <c r="H251" s="1">
        <v>12000</v>
      </c>
      <c r="I251" s="1">
        <v>17600</v>
      </c>
      <c r="J251" s="1">
        <v>23202</v>
      </c>
      <c r="K251" s="1">
        <f t="shared" si="11"/>
        <v>1000</v>
      </c>
      <c r="L251" s="1">
        <f t="shared" si="11"/>
        <v>1466.6666666666667</v>
      </c>
      <c r="M251" s="1">
        <f t="shared" si="11"/>
        <v>1933.5</v>
      </c>
      <c r="N251" t="str">
        <f t="shared" si="9"/>
        <v>ÎLE-DE-FRANCE|91 - Essonne|CA Versailles Grand Parc (CAVGP)</v>
      </c>
      <c r="O251" s="1" t="str">
        <f t="shared" si="10"/>
        <v>IDF</v>
      </c>
    </row>
    <row r="252" spans="1:15" x14ac:dyDescent="0.25">
      <c r="A252" s="1" t="s">
        <v>546</v>
      </c>
      <c r="B252" t="s">
        <v>592</v>
      </c>
      <c r="C252" t="s">
        <v>593</v>
      </c>
      <c r="D252" t="s">
        <v>602</v>
      </c>
      <c r="E252" t="s">
        <v>603</v>
      </c>
      <c r="F252" t="s">
        <v>20</v>
      </c>
      <c r="G252" t="s">
        <v>21</v>
      </c>
      <c r="H252" s="1">
        <v>12000</v>
      </c>
      <c r="I252" s="1">
        <v>17600</v>
      </c>
      <c r="J252" s="1">
        <v>23202</v>
      </c>
      <c r="K252" s="1">
        <f t="shared" si="11"/>
        <v>1000</v>
      </c>
      <c r="L252" s="1">
        <f t="shared" si="11"/>
        <v>1466.6666666666667</v>
      </c>
      <c r="M252" s="1">
        <f t="shared" si="11"/>
        <v>1933.5</v>
      </c>
      <c r="N252" t="str">
        <f t="shared" si="9"/>
        <v>ÎLE-DE-FRANCE|91 - Essonne|Grand-Orly Seine Bièvre</v>
      </c>
      <c r="O252" s="1" t="str">
        <f t="shared" si="10"/>
        <v>IDF</v>
      </c>
    </row>
    <row r="253" spans="1:15" x14ac:dyDescent="0.25">
      <c r="A253" s="1" t="s">
        <v>546</v>
      </c>
      <c r="B253" t="s">
        <v>604</v>
      </c>
      <c r="C253" t="s">
        <v>605</v>
      </c>
      <c r="D253" t="s">
        <v>606</v>
      </c>
      <c r="E253" t="s">
        <v>607</v>
      </c>
      <c r="F253" t="s">
        <v>20</v>
      </c>
      <c r="G253" t="s">
        <v>21</v>
      </c>
      <c r="H253" s="1">
        <v>12000</v>
      </c>
      <c r="I253" s="1">
        <v>17600</v>
      </c>
      <c r="J253" s="1">
        <v>23202</v>
      </c>
      <c r="K253" s="1">
        <f t="shared" si="11"/>
        <v>1000</v>
      </c>
      <c r="L253" s="1">
        <f t="shared" si="11"/>
        <v>1466.6666666666667</v>
      </c>
      <c r="M253" s="1">
        <f t="shared" si="11"/>
        <v>1933.5</v>
      </c>
      <c r="N253" t="str">
        <f t="shared" si="9"/>
        <v>ÎLE-DE-FRANCE|92 - Hauts-de-Seine|Boucle Nord de Seine</v>
      </c>
      <c r="O253" s="1" t="str">
        <f t="shared" si="10"/>
        <v>IDF</v>
      </c>
    </row>
    <row r="254" spans="1:15" x14ac:dyDescent="0.25">
      <c r="A254" s="1" t="s">
        <v>546</v>
      </c>
      <c r="B254" t="s">
        <v>604</v>
      </c>
      <c r="C254" t="s">
        <v>605</v>
      </c>
      <c r="D254" t="s">
        <v>608</v>
      </c>
      <c r="E254" t="s">
        <v>609</v>
      </c>
      <c r="F254" t="s">
        <v>20</v>
      </c>
      <c r="G254" t="s">
        <v>21</v>
      </c>
      <c r="H254" s="1">
        <v>12000</v>
      </c>
      <c r="I254" s="1">
        <v>17600</v>
      </c>
      <c r="J254" s="1">
        <v>23202</v>
      </c>
      <c r="K254" s="1">
        <f t="shared" si="11"/>
        <v>1000</v>
      </c>
      <c r="L254" s="1">
        <f t="shared" si="11"/>
        <v>1466.6666666666667</v>
      </c>
      <c r="M254" s="1">
        <f t="shared" si="11"/>
        <v>1933.5</v>
      </c>
      <c r="N254" t="str">
        <f t="shared" si="9"/>
        <v>ÎLE-DE-FRANCE|92 - Hauts-de-Seine|Grand Paris Seine Ouest</v>
      </c>
      <c r="O254" s="1" t="str">
        <f t="shared" si="10"/>
        <v>IDF</v>
      </c>
    </row>
    <row r="255" spans="1:15" x14ac:dyDescent="0.25">
      <c r="A255" s="1" t="s">
        <v>546</v>
      </c>
      <c r="B255" t="s">
        <v>604</v>
      </c>
      <c r="C255" t="s">
        <v>605</v>
      </c>
      <c r="D255" t="s">
        <v>610</v>
      </c>
      <c r="E255" t="s">
        <v>611</v>
      </c>
      <c r="F255" t="s">
        <v>20</v>
      </c>
      <c r="G255" t="s">
        <v>21</v>
      </c>
      <c r="H255" s="1">
        <v>12000</v>
      </c>
      <c r="I255" s="1">
        <v>17600</v>
      </c>
      <c r="J255" s="1">
        <v>23202</v>
      </c>
      <c r="K255" s="1">
        <f t="shared" si="11"/>
        <v>1000</v>
      </c>
      <c r="L255" s="1">
        <f t="shared" si="11"/>
        <v>1466.6666666666667</v>
      </c>
      <c r="M255" s="1">
        <f t="shared" si="11"/>
        <v>1933.5</v>
      </c>
      <c r="N255" t="str">
        <f t="shared" si="9"/>
        <v>ÎLE-DE-FRANCE|92 - Hauts-de-Seine|Paris Ouest La Défense</v>
      </c>
      <c r="O255" s="1" t="str">
        <f t="shared" si="10"/>
        <v>IDF</v>
      </c>
    </row>
    <row r="256" spans="1:15" x14ac:dyDescent="0.25">
      <c r="A256" s="1" t="s">
        <v>546</v>
      </c>
      <c r="B256" t="s">
        <v>604</v>
      </c>
      <c r="C256" t="s">
        <v>605</v>
      </c>
      <c r="D256" t="s">
        <v>612</v>
      </c>
      <c r="E256" t="s">
        <v>613</v>
      </c>
      <c r="F256" t="s">
        <v>20</v>
      </c>
      <c r="G256" t="s">
        <v>21</v>
      </c>
      <c r="H256" s="1">
        <v>12000</v>
      </c>
      <c r="I256" s="1">
        <v>17600</v>
      </c>
      <c r="J256" s="1">
        <v>23202</v>
      </c>
      <c r="K256" s="1">
        <f t="shared" si="11"/>
        <v>1000</v>
      </c>
      <c r="L256" s="1">
        <f t="shared" si="11"/>
        <v>1466.6666666666667</v>
      </c>
      <c r="M256" s="1">
        <f t="shared" si="11"/>
        <v>1933.5</v>
      </c>
      <c r="N256" t="str">
        <f t="shared" si="9"/>
        <v>ÎLE-DE-FRANCE|92 - Hauts-de-Seine|Vallée Sud-Grand Paris</v>
      </c>
      <c r="O256" s="1" t="str">
        <f t="shared" si="10"/>
        <v>IDF</v>
      </c>
    </row>
    <row r="257" spans="1:15" x14ac:dyDescent="0.25">
      <c r="A257" s="1" t="s">
        <v>546</v>
      </c>
      <c r="B257" t="s">
        <v>614</v>
      </c>
      <c r="C257" t="s">
        <v>615</v>
      </c>
      <c r="D257" t="s">
        <v>616</v>
      </c>
      <c r="E257" t="s">
        <v>617</v>
      </c>
      <c r="F257" t="s">
        <v>20</v>
      </c>
      <c r="G257" t="s">
        <v>21</v>
      </c>
      <c r="H257" s="1">
        <v>12000</v>
      </c>
      <c r="I257" s="1">
        <v>17600</v>
      </c>
      <c r="J257" s="1">
        <v>23202</v>
      </c>
      <c r="K257" s="1">
        <f t="shared" si="11"/>
        <v>1000</v>
      </c>
      <c r="L257" s="1">
        <f t="shared" si="11"/>
        <v>1466.6666666666667</v>
      </c>
      <c r="M257" s="1">
        <f t="shared" si="11"/>
        <v>1933.5</v>
      </c>
      <c r="N257" t="str">
        <f t="shared" si="9"/>
        <v>ÎLE-DE-FRANCE|93 - Seine-Saint-Denis|Est Ensemble</v>
      </c>
      <c r="O257" s="1" t="str">
        <f t="shared" si="10"/>
        <v>IDF</v>
      </c>
    </row>
    <row r="258" spans="1:15" x14ac:dyDescent="0.25">
      <c r="A258" s="1" t="s">
        <v>546</v>
      </c>
      <c r="B258" t="s">
        <v>614</v>
      </c>
      <c r="C258" t="s">
        <v>615</v>
      </c>
      <c r="D258" t="s">
        <v>618</v>
      </c>
      <c r="E258" t="s">
        <v>619</v>
      </c>
      <c r="F258" t="s">
        <v>20</v>
      </c>
      <c r="G258" t="s">
        <v>21</v>
      </c>
      <c r="H258" s="1">
        <v>12000</v>
      </c>
      <c r="I258" s="1">
        <v>17600</v>
      </c>
      <c r="J258" s="1">
        <v>23202</v>
      </c>
      <c r="K258" s="1">
        <f t="shared" si="11"/>
        <v>1000</v>
      </c>
      <c r="L258" s="1">
        <f t="shared" si="11"/>
        <v>1466.6666666666667</v>
      </c>
      <c r="M258" s="1">
        <f t="shared" si="11"/>
        <v>1933.5</v>
      </c>
      <c r="N258" t="str">
        <f t="shared" ref="N258:N321" si="12">SUBSTITUTE(
   UPPER(SUBSTITUTE(TRIM(A258), CHAR(160), " ")) &amp; "|" &amp;
   SUBSTITUTE(TRIM(C258), CHAR(160), " ") &amp; "|" &amp;
   SUBSTITUTE(TRIM(D258), CHAR(160), " "),
   "–", "-"
)</f>
        <v>ÎLE-DE-FRANCE|93 - Seine-Saint-Denis|Grand Paris Grand Est</v>
      </c>
      <c r="O258" s="1" t="str">
        <f t="shared" ref="O258:O321" si="13">IF(A258="Hauts-de-France", "HDF",
IF(A258="Île-de-France", "IDF",
IF(OR(A258="Guadeloupe", A258="Martinique", A258="Guyane", A258="La Réunion", A258="Mayotte"), "OM", "Province")))</f>
        <v>IDF</v>
      </c>
    </row>
    <row r="259" spans="1:15" x14ac:dyDescent="0.25">
      <c r="A259" s="1" t="s">
        <v>546</v>
      </c>
      <c r="B259" t="s">
        <v>614</v>
      </c>
      <c r="C259" t="s">
        <v>615</v>
      </c>
      <c r="D259" t="s">
        <v>620</v>
      </c>
      <c r="E259" t="s">
        <v>621</v>
      </c>
      <c r="F259" t="s">
        <v>20</v>
      </c>
      <c r="G259" t="s">
        <v>21</v>
      </c>
      <c r="H259" s="1">
        <v>12000</v>
      </c>
      <c r="I259" s="1">
        <v>17600</v>
      </c>
      <c r="J259" s="1">
        <v>23202</v>
      </c>
      <c r="K259" s="1">
        <f t="shared" ref="K259:M322" si="14">H259/12</f>
        <v>1000</v>
      </c>
      <c r="L259" s="1">
        <f t="shared" si="14"/>
        <v>1466.6666666666667</v>
      </c>
      <c r="M259" s="1">
        <f t="shared" si="14"/>
        <v>1933.5</v>
      </c>
      <c r="N259" t="str">
        <f t="shared" si="12"/>
        <v>ÎLE-DE-FRANCE|93 - Seine-Saint-Denis|Paris Terres d'Envol</v>
      </c>
      <c r="O259" s="1" t="str">
        <f t="shared" si="13"/>
        <v>IDF</v>
      </c>
    </row>
    <row r="260" spans="1:15" x14ac:dyDescent="0.25">
      <c r="A260" s="1" t="s">
        <v>546</v>
      </c>
      <c r="B260" t="s">
        <v>614</v>
      </c>
      <c r="C260" t="s">
        <v>615</v>
      </c>
      <c r="D260" t="s">
        <v>622</v>
      </c>
      <c r="E260" t="s">
        <v>623</v>
      </c>
      <c r="F260" t="s">
        <v>20</v>
      </c>
      <c r="G260" t="s">
        <v>21</v>
      </c>
      <c r="H260" s="1">
        <v>12000</v>
      </c>
      <c r="I260" s="1">
        <v>17600</v>
      </c>
      <c r="J260" s="1">
        <v>23202</v>
      </c>
      <c r="K260" s="1">
        <f t="shared" si="14"/>
        <v>1000</v>
      </c>
      <c r="L260" s="1">
        <f t="shared" si="14"/>
        <v>1466.6666666666667</v>
      </c>
      <c r="M260" s="1">
        <f t="shared" si="14"/>
        <v>1933.5</v>
      </c>
      <c r="N260" t="str">
        <f t="shared" si="12"/>
        <v>ÎLE-DE-FRANCE|93 - Seine-Saint-Denis|Plaine Commune</v>
      </c>
      <c r="O260" s="1" t="str">
        <f t="shared" si="13"/>
        <v>IDF</v>
      </c>
    </row>
    <row r="261" spans="1:15" x14ac:dyDescent="0.25">
      <c r="A261" s="1" t="s">
        <v>546</v>
      </c>
      <c r="B261" t="s">
        <v>624</v>
      </c>
      <c r="C261" t="s">
        <v>625</v>
      </c>
      <c r="D261" t="s">
        <v>602</v>
      </c>
      <c r="E261" t="s">
        <v>603</v>
      </c>
      <c r="F261" t="s">
        <v>20</v>
      </c>
      <c r="G261" t="s">
        <v>21</v>
      </c>
      <c r="H261" s="1">
        <v>12000</v>
      </c>
      <c r="I261" s="1">
        <v>17600</v>
      </c>
      <c r="J261" s="1">
        <v>23202</v>
      </c>
      <c r="K261" s="1">
        <f t="shared" si="14"/>
        <v>1000</v>
      </c>
      <c r="L261" s="1">
        <f t="shared" si="14"/>
        <v>1466.6666666666667</v>
      </c>
      <c r="M261" s="1">
        <f t="shared" si="14"/>
        <v>1933.5</v>
      </c>
      <c r="N261" t="str">
        <f t="shared" si="12"/>
        <v>ÎLE-DE-FRANCE|94 - Val-de-Marne|Grand-Orly Seine Bièvre</v>
      </c>
      <c r="O261" s="1" t="str">
        <f t="shared" si="13"/>
        <v>IDF</v>
      </c>
    </row>
    <row r="262" spans="1:15" x14ac:dyDescent="0.25">
      <c r="A262" s="1" t="s">
        <v>546</v>
      </c>
      <c r="B262" t="s">
        <v>624</v>
      </c>
      <c r="C262" t="s">
        <v>625</v>
      </c>
      <c r="D262" t="s">
        <v>626</v>
      </c>
      <c r="E262" t="s">
        <v>627</v>
      </c>
      <c r="F262" t="s">
        <v>20</v>
      </c>
      <c r="G262" t="s">
        <v>21</v>
      </c>
      <c r="H262" s="1">
        <v>12000</v>
      </c>
      <c r="I262" s="1">
        <v>17600</v>
      </c>
      <c r="J262" s="1">
        <v>23202</v>
      </c>
      <c r="K262" s="1">
        <f t="shared" si="14"/>
        <v>1000</v>
      </c>
      <c r="L262" s="1">
        <f t="shared" si="14"/>
        <v>1466.6666666666667</v>
      </c>
      <c r="M262" s="1">
        <f t="shared" si="14"/>
        <v>1933.5</v>
      </c>
      <c r="N262" t="str">
        <f t="shared" si="12"/>
        <v>ÎLE-DE-FRANCE|94 - Val-de-Marne|Grand Paris Sud Est Avenir</v>
      </c>
      <c r="O262" s="1" t="str">
        <f t="shared" si="13"/>
        <v>IDF</v>
      </c>
    </row>
    <row r="263" spans="1:15" x14ac:dyDescent="0.25">
      <c r="A263" s="1" t="s">
        <v>546</v>
      </c>
      <c r="B263" t="s">
        <v>624</v>
      </c>
      <c r="C263" t="s">
        <v>625</v>
      </c>
      <c r="D263" t="s">
        <v>628</v>
      </c>
      <c r="E263" t="s">
        <v>629</v>
      </c>
      <c r="F263" t="s">
        <v>20</v>
      </c>
      <c r="G263" t="s">
        <v>21</v>
      </c>
      <c r="H263" s="1">
        <v>12000</v>
      </c>
      <c r="I263" s="1">
        <v>17600</v>
      </c>
      <c r="J263" s="1">
        <v>23202</v>
      </c>
      <c r="K263" s="1">
        <f t="shared" si="14"/>
        <v>1000</v>
      </c>
      <c r="L263" s="1">
        <f t="shared" si="14"/>
        <v>1466.6666666666667</v>
      </c>
      <c r="M263" s="1">
        <f t="shared" si="14"/>
        <v>1933.5</v>
      </c>
      <c r="N263" t="str">
        <f t="shared" si="12"/>
        <v>ÎLE-DE-FRANCE|94 - Val-de-Marne|Paris Est Marne et Bois</v>
      </c>
      <c r="O263" s="1" t="str">
        <f t="shared" si="13"/>
        <v>IDF</v>
      </c>
    </row>
    <row r="264" spans="1:15" x14ac:dyDescent="0.25">
      <c r="A264" s="1" t="s">
        <v>546</v>
      </c>
      <c r="B264" t="s">
        <v>630</v>
      </c>
      <c r="C264" t="s">
        <v>631</v>
      </c>
      <c r="D264" t="s">
        <v>606</v>
      </c>
      <c r="E264" t="s">
        <v>607</v>
      </c>
      <c r="F264" t="s">
        <v>20</v>
      </c>
      <c r="G264" t="s">
        <v>21</v>
      </c>
      <c r="H264" s="1">
        <v>12000</v>
      </c>
      <c r="I264" s="1">
        <v>17600</v>
      </c>
      <c r="J264" s="1">
        <v>23202</v>
      </c>
      <c r="K264" s="1">
        <f t="shared" si="14"/>
        <v>1000</v>
      </c>
      <c r="L264" s="1">
        <f t="shared" si="14"/>
        <v>1466.6666666666667</v>
      </c>
      <c r="M264" s="1">
        <f t="shared" si="14"/>
        <v>1933.5</v>
      </c>
      <c r="N264" t="str">
        <f t="shared" si="12"/>
        <v>ÎLE-DE-FRANCE|95 - Val-d'Oise|Boucle Nord de Seine</v>
      </c>
      <c r="O264" s="1" t="str">
        <f t="shared" si="13"/>
        <v>IDF</v>
      </c>
    </row>
    <row r="265" spans="1:15" x14ac:dyDescent="0.25">
      <c r="A265" s="1" t="s">
        <v>546</v>
      </c>
      <c r="B265" t="s">
        <v>630</v>
      </c>
      <c r="C265" t="s">
        <v>631</v>
      </c>
      <c r="D265" t="s">
        <v>580</v>
      </c>
      <c r="E265" t="s">
        <v>581</v>
      </c>
      <c r="F265" t="s">
        <v>20</v>
      </c>
      <c r="G265" t="s">
        <v>21</v>
      </c>
      <c r="H265" s="1">
        <v>12000</v>
      </c>
      <c r="I265" s="1">
        <v>17600</v>
      </c>
      <c r="J265" s="1">
        <v>23202</v>
      </c>
      <c r="K265" s="1">
        <f t="shared" si="14"/>
        <v>1000</v>
      </c>
      <c r="L265" s="1">
        <f t="shared" si="14"/>
        <v>1466.6666666666667</v>
      </c>
      <c r="M265" s="1">
        <f t="shared" si="14"/>
        <v>1933.5</v>
      </c>
      <c r="N265" t="str">
        <f t="shared" si="12"/>
        <v>ÎLE-DE-FRANCE|95 - Val-d'Oise|CA de Cergy-Pontoise</v>
      </c>
      <c r="O265" s="1" t="str">
        <f t="shared" si="13"/>
        <v>IDF</v>
      </c>
    </row>
    <row r="266" spans="1:15" x14ac:dyDescent="0.25">
      <c r="A266" s="1" t="s">
        <v>546</v>
      </c>
      <c r="B266" t="s">
        <v>630</v>
      </c>
      <c r="C266" t="s">
        <v>631</v>
      </c>
      <c r="D266" t="s">
        <v>632</v>
      </c>
      <c r="E266" t="s">
        <v>633</v>
      </c>
      <c r="F266" t="s">
        <v>20</v>
      </c>
      <c r="G266" t="s">
        <v>21</v>
      </c>
      <c r="H266" s="1">
        <v>12000</v>
      </c>
      <c r="I266" s="1">
        <v>17600</v>
      </c>
      <c r="J266" s="1">
        <v>23202</v>
      </c>
      <c r="K266" s="1">
        <f t="shared" si="14"/>
        <v>1000</v>
      </c>
      <c r="L266" s="1">
        <f t="shared" si="14"/>
        <v>1466.6666666666667</v>
      </c>
      <c r="M266" s="1">
        <f t="shared" si="14"/>
        <v>1933.5</v>
      </c>
      <c r="N266" t="str">
        <f t="shared" si="12"/>
        <v>ÎLE-DE-FRANCE|95 - Val-d'Oise|CA Plaine Vallée</v>
      </c>
      <c r="O266" s="1" t="str">
        <f t="shared" si="13"/>
        <v>IDF</v>
      </c>
    </row>
    <row r="267" spans="1:15" x14ac:dyDescent="0.25">
      <c r="A267" s="1" t="s">
        <v>546</v>
      </c>
      <c r="B267" t="s">
        <v>630</v>
      </c>
      <c r="C267" t="s">
        <v>631</v>
      </c>
      <c r="D267" t="s">
        <v>566</v>
      </c>
      <c r="E267" t="s">
        <v>567</v>
      </c>
      <c r="F267" t="s">
        <v>20</v>
      </c>
      <c r="G267" t="s">
        <v>21</v>
      </c>
      <c r="H267" s="1">
        <v>12000</v>
      </c>
      <c r="I267" s="1">
        <v>17600</v>
      </c>
      <c r="J267" s="1">
        <v>23202</v>
      </c>
      <c r="K267" s="1">
        <f t="shared" si="14"/>
        <v>1000</v>
      </c>
      <c r="L267" s="1">
        <f t="shared" si="14"/>
        <v>1466.6666666666667</v>
      </c>
      <c r="M267" s="1">
        <f t="shared" si="14"/>
        <v>1933.5</v>
      </c>
      <c r="N267" t="str">
        <f t="shared" si="12"/>
        <v>ÎLE-DE-FRANCE|95 - Val-d'Oise|CA Roissy Pays de France</v>
      </c>
      <c r="O267" s="1" t="str">
        <f t="shared" si="13"/>
        <v>IDF</v>
      </c>
    </row>
    <row r="268" spans="1:15" x14ac:dyDescent="0.25">
      <c r="A268" s="1" t="s">
        <v>546</v>
      </c>
      <c r="B268" t="s">
        <v>630</v>
      </c>
      <c r="C268" t="s">
        <v>631</v>
      </c>
      <c r="D268" t="s">
        <v>586</v>
      </c>
      <c r="E268" t="s">
        <v>587</v>
      </c>
      <c r="F268" t="s">
        <v>20</v>
      </c>
      <c r="G268" t="s">
        <v>21</v>
      </c>
      <c r="H268" s="1">
        <v>12000</v>
      </c>
      <c r="I268" s="1">
        <v>17600</v>
      </c>
      <c r="J268" s="1">
        <v>23202</v>
      </c>
      <c r="K268" s="1">
        <f t="shared" si="14"/>
        <v>1000</v>
      </c>
      <c r="L268" s="1">
        <f t="shared" si="14"/>
        <v>1466.6666666666667</v>
      </c>
      <c r="M268" s="1">
        <f t="shared" si="14"/>
        <v>1933.5</v>
      </c>
      <c r="N268" t="str">
        <f t="shared" si="12"/>
        <v>ÎLE-DE-FRANCE|95 - Val-d'Oise|CA Saint Germain Boucles de Seine</v>
      </c>
      <c r="O268" s="1" t="str">
        <f t="shared" si="13"/>
        <v>IDF</v>
      </c>
    </row>
    <row r="269" spans="1:15" x14ac:dyDescent="0.25">
      <c r="A269" s="1" t="s">
        <v>546</v>
      </c>
      <c r="B269" t="s">
        <v>630</v>
      </c>
      <c r="C269" t="s">
        <v>631</v>
      </c>
      <c r="D269" t="s">
        <v>634</v>
      </c>
      <c r="E269" t="s">
        <v>635</v>
      </c>
      <c r="F269" t="s">
        <v>20</v>
      </c>
      <c r="G269" t="s">
        <v>21</v>
      </c>
      <c r="H269" s="1">
        <v>12000</v>
      </c>
      <c r="I269" s="1">
        <v>17600</v>
      </c>
      <c r="J269" s="1">
        <v>23202</v>
      </c>
      <c r="K269" s="1">
        <f t="shared" si="14"/>
        <v>1000</v>
      </c>
      <c r="L269" s="1">
        <f t="shared" si="14"/>
        <v>1466.6666666666667</v>
      </c>
      <c r="M269" s="1">
        <f t="shared" si="14"/>
        <v>1933.5</v>
      </c>
      <c r="N269" t="str">
        <f t="shared" si="12"/>
        <v>ÎLE-DE-FRANCE|95 - Val-d'Oise|CA Val Parisis</v>
      </c>
      <c r="O269" s="1" t="str">
        <f t="shared" si="13"/>
        <v>IDF</v>
      </c>
    </row>
    <row r="270" spans="1:15" x14ac:dyDescent="0.25">
      <c r="A270" s="1" t="s">
        <v>546</v>
      </c>
      <c r="B270" t="s">
        <v>630</v>
      </c>
      <c r="C270" t="s">
        <v>631</v>
      </c>
      <c r="D270" t="s">
        <v>636</v>
      </c>
      <c r="E270" t="s">
        <v>637</v>
      </c>
      <c r="F270" t="s">
        <v>20</v>
      </c>
      <c r="G270" t="s">
        <v>21</v>
      </c>
      <c r="H270" s="1">
        <v>12000</v>
      </c>
      <c r="I270" s="1">
        <v>17600</v>
      </c>
      <c r="J270" s="1">
        <v>23202</v>
      </c>
      <c r="K270" s="1">
        <f t="shared" si="14"/>
        <v>1000</v>
      </c>
      <c r="L270" s="1">
        <f t="shared" si="14"/>
        <v>1466.6666666666667</v>
      </c>
      <c r="M270" s="1">
        <f t="shared" si="14"/>
        <v>1933.5</v>
      </c>
      <c r="N270" t="str">
        <f t="shared" si="12"/>
        <v>ÎLE-DE-FRANCE|95 - Val-d'Oise|CC de la Vallée de l'Oise et des Trois Forêts</v>
      </c>
      <c r="O270" s="1" t="str">
        <f t="shared" si="13"/>
        <v>IDF</v>
      </c>
    </row>
    <row r="271" spans="1:15" x14ac:dyDescent="0.25">
      <c r="A271" s="1" t="s">
        <v>546</v>
      </c>
      <c r="B271" t="s">
        <v>630</v>
      </c>
      <c r="C271" t="s">
        <v>631</v>
      </c>
      <c r="D271" t="s">
        <v>638</v>
      </c>
      <c r="E271" t="s">
        <v>639</v>
      </c>
      <c r="F271" t="s">
        <v>20</v>
      </c>
      <c r="G271" t="s">
        <v>21</v>
      </c>
      <c r="H271" s="1">
        <v>12000</v>
      </c>
      <c r="I271" s="1">
        <v>17600</v>
      </c>
      <c r="J271" s="1">
        <v>23202</v>
      </c>
      <c r="K271" s="1">
        <f t="shared" si="14"/>
        <v>1000</v>
      </c>
      <c r="L271" s="1">
        <f t="shared" si="14"/>
        <v>1466.6666666666667</v>
      </c>
      <c r="M271" s="1">
        <f t="shared" si="14"/>
        <v>1933.5</v>
      </c>
      <c r="N271" t="str">
        <f t="shared" si="12"/>
        <v>ÎLE-DE-FRANCE|95 - Val-d'Oise|CC du Haut Val d'Oise</v>
      </c>
      <c r="O271" s="1" t="str">
        <f t="shared" si="13"/>
        <v>IDF</v>
      </c>
    </row>
    <row r="272" spans="1:15" x14ac:dyDescent="0.25">
      <c r="A272" s="1" t="s">
        <v>640</v>
      </c>
      <c r="B272" t="s">
        <v>641</v>
      </c>
      <c r="C272" t="s">
        <v>642</v>
      </c>
      <c r="D272" t="s">
        <v>643</v>
      </c>
      <c r="E272" t="s">
        <v>644</v>
      </c>
      <c r="F272" t="s">
        <v>20</v>
      </c>
      <c r="G272" t="s">
        <v>21</v>
      </c>
      <c r="H272" s="1">
        <v>6864</v>
      </c>
      <c r="I272" s="1">
        <v>10689</v>
      </c>
      <c r="J272" s="1">
        <v>15372</v>
      </c>
      <c r="K272" s="1">
        <f t="shared" si="14"/>
        <v>572</v>
      </c>
      <c r="L272" s="1">
        <f t="shared" si="14"/>
        <v>890.75</v>
      </c>
      <c r="M272" s="1">
        <f t="shared" si="14"/>
        <v>1281</v>
      </c>
      <c r="N272" t="str">
        <f t="shared" si="12"/>
        <v>LA RÉUNION|97 - -La Réunion|CA CIVIS (Communauté Intercommunale des Villes Solidaires)</v>
      </c>
      <c r="O272" s="1" t="str">
        <f t="shared" si="13"/>
        <v>OM</v>
      </c>
    </row>
    <row r="273" spans="1:15" x14ac:dyDescent="0.25">
      <c r="A273" s="1" t="s">
        <v>640</v>
      </c>
      <c r="B273" t="s">
        <v>641</v>
      </c>
      <c r="C273" t="s">
        <v>642</v>
      </c>
      <c r="D273" t="s">
        <v>645</v>
      </c>
      <c r="E273" t="s">
        <v>646</v>
      </c>
      <c r="F273" t="s">
        <v>20</v>
      </c>
      <c r="G273" t="s">
        <v>21</v>
      </c>
      <c r="H273" s="1">
        <v>6857</v>
      </c>
      <c r="I273" s="1">
        <v>10092</v>
      </c>
      <c r="J273" s="1">
        <v>14006</v>
      </c>
      <c r="K273" s="1">
        <f t="shared" si="14"/>
        <v>571.41666666666663</v>
      </c>
      <c r="L273" s="1">
        <f t="shared" si="14"/>
        <v>841</v>
      </c>
      <c r="M273" s="1">
        <f t="shared" si="14"/>
        <v>1167.1666666666667</v>
      </c>
      <c r="N273" t="str">
        <f t="shared" si="12"/>
        <v>LA RÉUNION|97 - -La Réunion|CA du Sud</v>
      </c>
      <c r="O273" s="1" t="str">
        <f t="shared" si="13"/>
        <v>OM</v>
      </c>
    </row>
    <row r="274" spans="1:15" x14ac:dyDescent="0.25">
      <c r="A274" s="1" t="s">
        <v>640</v>
      </c>
      <c r="B274" t="s">
        <v>641</v>
      </c>
      <c r="C274" t="s">
        <v>642</v>
      </c>
      <c r="D274" t="s">
        <v>647</v>
      </c>
      <c r="E274" t="s">
        <v>648</v>
      </c>
      <c r="F274" t="s">
        <v>20</v>
      </c>
      <c r="G274" t="s">
        <v>21</v>
      </c>
      <c r="H274" s="1">
        <v>6675</v>
      </c>
      <c r="I274" s="1">
        <v>9510</v>
      </c>
      <c r="J274" s="1">
        <v>13733</v>
      </c>
      <c r="K274" s="1">
        <f t="shared" si="14"/>
        <v>556.25</v>
      </c>
      <c r="L274" s="1">
        <f t="shared" si="14"/>
        <v>792.5</v>
      </c>
      <c r="M274" s="1">
        <f t="shared" si="14"/>
        <v>1144.4166666666667</v>
      </c>
      <c r="N274" t="str">
        <f t="shared" si="12"/>
        <v>LA RÉUNION|97 - -La Réunion|CA Intercommunale de la Réunion Est (CIREST)</v>
      </c>
      <c r="O274" s="1" t="str">
        <f t="shared" si="13"/>
        <v>OM</v>
      </c>
    </row>
    <row r="275" spans="1:15" x14ac:dyDescent="0.25">
      <c r="A275" s="1" t="s">
        <v>640</v>
      </c>
      <c r="B275" t="s">
        <v>641</v>
      </c>
      <c r="C275" t="s">
        <v>642</v>
      </c>
      <c r="D275" t="s">
        <v>649</v>
      </c>
      <c r="E275" t="s">
        <v>650</v>
      </c>
      <c r="F275" t="s">
        <v>20</v>
      </c>
      <c r="G275" t="s">
        <v>21</v>
      </c>
      <c r="H275" s="1">
        <v>7283</v>
      </c>
      <c r="I275" s="1">
        <v>11320</v>
      </c>
      <c r="J275" s="1">
        <v>16682</v>
      </c>
      <c r="K275" s="1">
        <f t="shared" si="14"/>
        <v>606.91666666666663</v>
      </c>
      <c r="L275" s="1">
        <f t="shared" si="14"/>
        <v>943.33333333333337</v>
      </c>
      <c r="M275" s="1">
        <f t="shared" si="14"/>
        <v>1390.1666666666667</v>
      </c>
      <c r="N275" t="str">
        <f t="shared" si="12"/>
        <v>LA RÉUNION|97 - -La Réunion|CA Intercommunale du Nord de la Réunion (CINOR)</v>
      </c>
      <c r="O275" s="1" t="str">
        <f t="shared" si="13"/>
        <v>OM</v>
      </c>
    </row>
    <row r="276" spans="1:15" x14ac:dyDescent="0.25">
      <c r="A276" s="1" t="s">
        <v>640</v>
      </c>
      <c r="B276" t="s">
        <v>641</v>
      </c>
      <c r="C276" t="s">
        <v>642</v>
      </c>
      <c r="D276" t="s">
        <v>651</v>
      </c>
      <c r="E276" t="s">
        <v>652</v>
      </c>
      <c r="F276" t="s">
        <v>20</v>
      </c>
      <c r="G276" t="s">
        <v>21</v>
      </c>
      <c r="H276" s="1">
        <v>7590</v>
      </c>
      <c r="I276" s="1">
        <v>11748</v>
      </c>
      <c r="J276" s="1">
        <v>17376</v>
      </c>
      <c r="K276" s="1">
        <f t="shared" si="14"/>
        <v>632.5</v>
      </c>
      <c r="L276" s="1">
        <f t="shared" si="14"/>
        <v>979</v>
      </c>
      <c r="M276" s="1">
        <f t="shared" si="14"/>
        <v>1448</v>
      </c>
      <c r="N276" t="str">
        <f t="shared" si="12"/>
        <v>LA RÉUNION|97 - -La Réunion|CA Territoire de la Côte Ouest (TCO)</v>
      </c>
      <c r="O276" s="1" t="str">
        <f t="shared" si="13"/>
        <v>OM</v>
      </c>
    </row>
    <row r="277" spans="1:15" x14ac:dyDescent="0.25">
      <c r="A277" s="1" t="s">
        <v>653</v>
      </c>
      <c r="B277" t="s">
        <v>654</v>
      </c>
      <c r="C277" t="s">
        <v>655</v>
      </c>
      <c r="D277" t="s">
        <v>656</v>
      </c>
      <c r="E277" t="s">
        <v>657</v>
      </c>
      <c r="F277" t="s">
        <v>20</v>
      </c>
      <c r="G277" t="s">
        <v>21</v>
      </c>
      <c r="H277" s="1">
        <v>7956</v>
      </c>
      <c r="I277" s="1">
        <v>12480</v>
      </c>
      <c r="J277" s="1">
        <v>18408</v>
      </c>
      <c r="K277" s="1">
        <f t="shared" si="14"/>
        <v>663</v>
      </c>
      <c r="L277" s="1">
        <f t="shared" si="14"/>
        <v>1040</v>
      </c>
      <c r="M277" s="1">
        <f t="shared" si="14"/>
        <v>1534</v>
      </c>
      <c r="N277" t="str">
        <f t="shared" si="12"/>
        <v>MARTINIQUE|97 - -Martinique|CA de l'Espace Sud de la Martinique</v>
      </c>
      <c r="O277" s="1" t="str">
        <f t="shared" si="13"/>
        <v>OM</v>
      </c>
    </row>
    <row r="278" spans="1:15" x14ac:dyDescent="0.25">
      <c r="A278" s="1" t="s">
        <v>653</v>
      </c>
      <c r="B278" t="s">
        <v>654</v>
      </c>
      <c r="C278" t="s">
        <v>655</v>
      </c>
      <c r="D278" t="s">
        <v>658</v>
      </c>
      <c r="E278" t="s">
        <v>659</v>
      </c>
      <c r="F278" t="s">
        <v>20</v>
      </c>
      <c r="G278" t="s">
        <v>21</v>
      </c>
      <c r="H278" s="1">
        <v>8781</v>
      </c>
      <c r="I278" s="1">
        <v>13908</v>
      </c>
      <c r="J278" s="1">
        <v>19973</v>
      </c>
      <c r="K278" s="1">
        <f t="shared" si="14"/>
        <v>731.75</v>
      </c>
      <c r="L278" s="1">
        <f t="shared" si="14"/>
        <v>1159</v>
      </c>
      <c r="M278" s="1">
        <f t="shared" si="14"/>
        <v>1664.4166666666667</v>
      </c>
      <c r="N278" t="str">
        <f t="shared" si="12"/>
        <v>MARTINIQUE|97 - -Martinique|CA du Centre de la Martinique</v>
      </c>
      <c r="O278" s="1" t="str">
        <f t="shared" si="13"/>
        <v>OM</v>
      </c>
    </row>
    <row r="279" spans="1:15" x14ac:dyDescent="0.25">
      <c r="A279" s="1" t="s">
        <v>653</v>
      </c>
      <c r="B279" t="s">
        <v>654</v>
      </c>
      <c r="C279" t="s">
        <v>655</v>
      </c>
      <c r="D279" t="s">
        <v>660</v>
      </c>
      <c r="E279" t="s">
        <v>661</v>
      </c>
      <c r="F279" t="s">
        <v>20</v>
      </c>
      <c r="G279" t="s">
        <v>21</v>
      </c>
      <c r="H279" s="1">
        <v>7577</v>
      </c>
      <c r="I279" s="1">
        <v>11938</v>
      </c>
      <c r="J279" s="1">
        <v>17453</v>
      </c>
      <c r="K279" s="1">
        <f t="shared" si="14"/>
        <v>631.41666666666663</v>
      </c>
      <c r="L279" s="1">
        <f t="shared" si="14"/>
        <v>994.83333333333337</v>
      </c>
      <c r="M279" s="1">
        <f t="shared" si="14"/>
        <v>1454.4166666666667</v>
      </c>
      <c r="N279" t="str">
        <f t="shared" si="12"/>
        <v>MARTINIQUE|97 - -Martinique|CA du Pays Nord Martinique</v>
      </c>
      <c r="O279" s="1" t="str">
        <f t="shared" si="13"/>
        <v>OM</v>
      </c>
    </row>
    <row r="280" spans="1:15" x14ac:dyDescent="0.25">
      <c r="A280" s="1" t="s">
        <v>662</v>
      </c>
      <c r="B280" t="s">
        <v>663</v>
      </c>
      <c r="C280" t="s">
        <v>664</v>
      </c>
      <c r="D280" t="s">
        <v>665</v>
      </c>
      <c r="E280" t="s">
        <v>666</v>
      </c>
      <c r="F280" t="s">
        <v>20</v>
      </c>
      <c r="G280" t="s">
        <v>21</v>
      </c>
      <c r="H280" s="1">
        <v>9106</v>
      </c>
      <c r="I280" s="1">
        <v>14350</v>
      </c>
      <c r="J280" s="1">
        <v>21545</v>
      </c>
      <c r="K280" s="1">
        <f t="shared" si="14"/>
        <v>758.83333333333337</v>
      </c>
      <c r="L280" s="1">
        <f t="shared" si="14"/>
        <v>1195.8333333333333</v>
      </c>
      <c r="M280" s="1">
        <f t="shared" si="14"/>
        <v>1795.4166666666667</v>
      </c>
      <c r="N280" t="str">
        <f t="shared" si="12"/>
        <v>MAYOTTE|97 - -Mayotte|CA de Dembeni / Mamoudzou</v>
      </c>
      <c r="O280" s="1" t="str">
        <f t="shared" si="13"/>
        <v>OM</v>
      </c>
    </row>
    <row r="281" spans="1:15" x14ac:dyDescent="0.25">
      <c r="A281" s="1" t="s">
        <v>662</v>
      </c>
      <c r="B281" t="s">
        <v>663</v>
      </c>
      <c r="C281" t="s">
        <v>664</v>
      </c>
      <c r="D281" t="s">
        <v>667</v>
      </c>
      <c r="E281" t="s">
        <v>668</v>
      </c>
      <c r="F281" t="s">
        <v>20</v>
      </c>
      <c r="G281" t="s">
        <v>21</v>
      </c>
      <c r="H281" s="1">
        <v>5685</v>
      </c>
      <c r="I281" s="1">
        <v>10388</v>
      </c>
      <c r="J281" s="1">
        <v>17046</v>
      </c>
      <c r="K281" s="1">
        <f t="shared" si="14"/>
        <v>473.75</v>
      </c>
      <c r="L281" s="1">
        <f t="shared" si="14"/>
        <v>865.66666666666663</v>
      </c>
      <c r="M281" s="1">
        <f t="shared" si="14"/>
        <v>1420.5</v>
      </c>
      <c r="N281" t="str">
        <f t="shared" si="12"/>
        <v>MAYOTTE|97 - -Mayotte|CA du Grand Nord de Mayotte</v>
      </c>
      <c r="O281" s="1" t="str">
        <f t="shared" si="13"/>
        <v>OM</v>
      </c>
    </row>
    <row r="282" spans="1:15" x14ac:dyDescent="0.25">
      <c r="A282" s="1" t="s">
        <v>662</v>
      </c>
      <c r="B282" t="s">
        <v>663</v>
      </c>
      <c r="C282" t="s">
        <v>664</v>
      </c>
      <c r="D282" t="s">
        <v>669</v>
      </c>
      <c r="E282" t="s">
        <v>670</v>
      </c>
      <c r="F282" t="s">
        <v>20</v>
      </c>
      <c r="G282" t="s">
        <v>21</v>
      </c>
      <c r="H282" s="1">
        <v>9923</v>
      </c>
      <c r="I282" s="1">
        <v>15398</v>
      </c>
      <c r="J282" s="1">
        <v>21792</v>
      </c>
      <c r="K282" s="1">
        <f t="shared" si="14"/>
        <v>826.91666666666663</v>
      </c>
      <c r="L282" s="1">
        <f t="shared" si="14"/>
        <v>1283.1666666666667</v>
      </c>
      <c r="M282" s="1">
        <f t="shared" si="14"/>
        <v>1816</v>
      </c>
      <c r="N282" t="str">
        <f t="shared" si="12"/>
        <v>MAYOTTE|97 - -Mayotte|CC de Petite-Terre</v>
      </c>
      <c r="O282" s="1" t="str">
        <f t="shared" si="13"/>
        <v>OM</v>
      </c>
    </row>
    <row r="283" spans="1:15" x14ac:dyDescent="0.25">
      <c r="A283" s="1" t="s">
        <v>662</v>
      </c>
      <c r="B283" t="s">
        <v>663</v>
      </c>
      <c r="C283" t="s">
        <v>664</v>
      </c>
      <c r="D283" t="s">
        <v>671</v>
      </c>
      <c r="E283" t="s">
        <v>672</v>
      </c>
      <c r="F283" t="s">
        <v>20</v>
      </c>
      <c r="G283" t="s">
        <v>21</v>
      </c>
      <c r="H283" s="1">
        <v>7931</v>
      </c>
      <c r="I283" s="1">
        <v>12822</v>
      </c>
      <c r="J283" s="1">
        <v>18000</v>
      </c>
      <c r="K283" s="1">
        <f t="shared" si="14"/>
        <v>660.91666666666663</v>
      </c>
      <c r="L283" s="1">
        <f t="shared" si="14"/>
        <v>1068.5</v>
      </c>
      <c r="M283" s="1">
        <f t="shared" si="14"/>
        <v>1500</v>
      </c>
      <c r="N283" t="str">
        <f t="shared" si="12"/>
        <v>MAYOTTE|97 - -Mayotte|CC du Centre-Ouest</v>
      </c>
      <c r="O283" s="1" t="str">
        <f t="shared" si="13"/>
        <v>OM</v>
      </c>
    </row>
    <row r="284" spans="1:15" x14ac:dyDescent="0.25">
      <c r="A284" s="1" t="s">
        <v>662</v>
      </c>
      <c r="B284" t="s">
        <v>663</v>
      </c>
      <c r="C284" t="s">
        <v>664</v>
      </c>
      <c r="D284" t="s">
        <v>673</v>
      </c>
      <c r="E284" t="s">
        <v>674</v>
      </c>
      <c r="F284" t="s">
        <v>20</v>
      </c>
      <c r="G284" t="s">
        <v>21</v>
      </c>
      <c r="H284" s="1">
        <v>6793</v>
      </c>
      <c r="I284" s="1">
        <v>11085</v>
      </c>
      <c r="J284" s="1">
        <v>19449</v>
      </c>
      <c r="K284" s="1">
        <f t="shared" si="14"/>
        <v>566.08333333333337</v>
      </c>
      <c r="L284" s="1">
        <f t="shared" si="14"/>
        <v>923.75</v>
      </c>
      <c r="M284" s="1">
        <f t="shared" si="14"/>
        <v>1620.75</v>
      </c>
      <c r="N284" t="str">
        <f t="shared" si="12"/>
        <v>MAYOTTE|97 - -Mayotte|CC du Sud</v>
      </c>
      <c r="O284" s="1" t="str">
        <f t="shared" si="13"/>
        <v>OM</v>
      </c>
    </row>
    <row r="285" spans="1:15" x14ac:dyDescent="0.25">
      <c r="A285" s="1" t="s">
        <v>675</v>
      </c>
      <c r="B285" t="s">
        <v>676</v>
      </c>
      <c r="C285" t="s">
        <v>677</v>
      </c>
      <c r="D285" t="s">
        <v>678</v>
      </c>
      <c r="E285" t="s">
        <v>679</v>
      </c>
      <c r="F285" t="s">
        <v>20</v>
      </c>
      <c r="G285" t="s">
        <v>21</v>
      </c>
      <c r="H285" s="1">
        <v>10127</v>
      </c>
      <c r="I285" s="1">
        <v>14089</v>
      </c>
      <c r="J285" s="1">
        <v>18720</v>
      </c>
      <c r="K285" s="1">
        <f t="shared" si="14"/>
        <v>843.91666666666663</v>
      </c>
      <c r="L285" s="1">
        <f t="shared" si="14"/>
        <v>1174.0833333333333</v>
      </c>
      <c r="M285" s="1">
        <f t="shared" si="14"/>
        <v>1560</v>
      </c>
      <c r="N285" t="str">
        <f t="shared" si="12"/>
        <v>NORMANDIE|14 - Calvados|CA Lisieux Normandie</v>
      </c>
      <c r="O285" s="1" t="str">
        <f t="shared" si="13"/>
        <v>Province</v>
      </c>
    </row>
    <row r="286" spans="1:15" x14ac:dyDescent="0.25">
      <c r="A286" s="1" t="s">
        <v>675</v>
      </c>
      <c r="B286" t="s">
        <v>676</v>
      </c>
      <c r="C286" t="s">
        <v>677</v>
      </c>
      <c r="D286" t="s">
        <v>680</v>
      </c>
      <c r="E286" t="s">
        <v>681</v>
      </c>
      <c r="F286" t="s">
        <v>20</v>
      </c>
      <c r="G286" t="s">
        <v>21</v>
      </c>
      <c r="H286" s="1">
        <v>11640</v>
      </c>
      <c r="I286" s="1">
        <v>15392</v>
      </c>
      <c r="J286" s="1">
        <v>19569</v>
      </c>
      <c r="K286" s="1">
        <f t="shared" si="14"/>
        <v>970</v>
      </c>
      <c r="L286" s="1">
        <f t="shared" si="14"/>
        <v>1282.6666666666667</v>
      </c>
      <c r="M286" s="1">
        <f t="shared" si="14"/>
        <v>1630.75</v>
      </c>
      <c r="N286" t="str">
        <f t="shared" si="12"/>
        <v>NORMANDIE|14 - Calvados|CC de Bayeux Intercom</v>
      </c>
      <c r="O286" s="1" t="str">
        <f t="shared" si="13"/>
        <v>Province</v>
      </c>
    </row>
    <row r="287" spans="1:15" x14ac:dyDescent="0.25">
      <c r="A287" s="1" t="s">
        <v>675</v>
      </c>
      <c r="B287" t="s">
        <v>676</v>
      </c>
      <c r="C287" t="s">
        <v>677</v>
      </c>
      <c r="D287" t="s">
        <v>682</v>
      </c>
      <c r="E287" t="s">
        <v>683</v>
      </c>
      <c r="F287" t="s">
        <v>20</v>
      </c>
      <c r="G287" t="s">
        <v>21</v>
      </c>
      <c r="H287" s="1">
        <v>11406</v>
      </c>
      <c r="I287" s="1">
        <v>16020</v>
      </c>
      <c r="J287" s="1">
        <v>20434</v>
      </c>
      <c r="K287" s="1">
        <f t="shared" si="14"/>
        <v>950.5</v>
      </c>
      <c r="L287" s="1">
        <f t="shared" si="14"/>
        <v>1335</v>
      </c>
      <c r="M287" s="1">
        <f t="shared" si="14"/>
        <v>1702.8333333333333</v>
      </c>
      <c r="N287" t="str">
        <f t="shared" si="12"/>
        <v>NORMANDIE|14 - Calvados|CC du Pays de Honfleur-Beuzeville</v>
      </c>
      <c r="O287" s="1" t="str">
        <f t="shared" si="13"/>
        <v>Province</v>
      </c>
    </row>
    <row r="288" spans="1:15" x14ac:dyDescent="0.25">
      <c r="A288" s="1" t="s">
        <v>675</v>
      </c>
      <c r="B288" t="s">
        <v>676</v>
      </c>
      <c r="C288" t="s">
        <v>677</v>
      </c>
      <c r="D288" t="s">
        <v>684</v>
      </c>
      <c r="E288" t="s">
        <v>685</v>
      </c>
      <c r="F288" t="s">
        <v>20</v>
      </c>
      <c r="G288" t="s">
        <v>21</v>
      </c>
      <c r="H288" s="1">
        <v>9863</v>
      </c>
      <c r="I288" s="1">
        <v>13684</v>
      </c>
      <c r="J288" s="1">
        <v>18379</v>
      </c>
      <c r="K288" s="1">
        <f t="shared" si="14"/>
        <v>821.91666666666663</v>
      </c>
      <c r="L288" s="1">
        <f t="shared" si="14"/>
        <v>1140.3333333333333</v>
      </c>
      <c r="M288" s="1">
        <f t="shared" si="14"/>
        <v>1531.5833333333333</v>
      </c>
      <c r="N288" t="str">
        <f t="shared" si="12"/>
        <v>NORMANDIE|14 - Calvados|CC Intercom de la Vire au Noireau</v>
      </c>
      <c r="O288" s="1" t="str">
        <f t="shared" si="13"/>
        <v>Province</v>
      </c>
    </row>
    <row r="289" spans="1:15" x14ac:dyDescent="0.25">
      <c r="A289" s="1" t="s">
        <v>675</v>
      </c>
      <c r="B289" t="s">
        <v>676</v>
      </c>
      <c r="C289" t="s">
        <v>677</v>
      </c>
      <c r="D289" t="s">
        <v>686</v>
      </c>
      <c r="E289" t="s">
        <v>687</v>
      </c>
      <c r="F289" t="s">
        <v>20</v>
      </c>
      <c r="G289" t="s">
        <v>21</v>
      </c>
      <c r="H289" s="1">
        <v>10510</v>
      </c>
      <c r="I289" s="1">
        <v>14880</v>
      </c>
      <c r="J289" s="1">
        <v>19823</v>
      </c>
      <c r="K289" s="1">
        <f t="shared" si="14"/>
        <v>875.83333333333337</v>
      </c>
      <c r="L289" s="1">
        <f t="shared" si="14"/>
        <v>1240</v>
      </c>
      <c r="M289" s="1">
        <f t="shared" si="14"/>
        <v>1651.9166666666667</v>
      </c>
      <c r="N289" t="str">
        <f t="shared" si="12"/>
        <v>NORMANDIE|14 - Calvados|CU Caen la Mer</v>
      </c>
      <c r="O289" s="1" t="str">
        <f t="shared" si="13"/>
        <v>Province</v>
      </c>
    </row>
    <row r="290" spans="1:15" x14ac:dyDescent="0.25">
      <c r="A290" s="1" t="s">
        <v>675</v>
      </c>
      <c r="B290" t="s">
        <v>688</v>
      </c>
      <c r="C290" t="s">
        <v>689</v>
      </c>
      <c r="D290" t="s">
        <v>273</v>
      </c>
      <c r="E290" t="s">
        <v>274</v>
      </c>
      <c r="F290" t="s">
        <v>20</v>
      </c>
      <c r="G290" t="s">
        <v>21</v>
      </c>
      <c r="H290" s="1">
        <v>9502</v>
      </c>
      <c r="I290" s="1">
        <v>13758</v>
      </c>
      <c r="J290" s="1">
        <v>18670</v>
      </c>
      <c r="K290" s="1">
        <f t="shared" si="14"/>
        <v>791.83333333333337</v>
      </c>
      <c r="L290" s="1">
        <f t="shared" si="14"/>
        <v>1146.5</v>
      </c>
      <c r="M290" s="1">
        <f t="shared" si="14"/>
        <v>1555.8333333333333</v>
      </c>
      <c r="N290" t="str">
        <f t="shared" si="12"/>
        <v>NORMANDIE|27 - Eure|CA Agglo du Pays de Dreux</v>
      </c>
      <c r="O290" s="1" t="str">
        <f t="shared" si="13"/>
        <v>Province</v>
      </c>
    </row>
    <row r="291" spans="1:15" x14ac:dyDescent="0.25">
      <c r="A291" s="1" t="s">
        <v>675</v>
      </c>
      <c r="B291" t="s">
        <v>688</v>
      </c>
      <c r="C291" t="s">
        <v>689</v>
      </c>
      <c r="D291" t="s">
        <v>690</v>
      </c>
      <c r="E291" t="s">
        <v>691</v>
      </c>
      <c r="F291" t="s">
        <v>20</v>
      </c>
      <c r="G291" t="s">
        <v>21</v>
      </c>
      <c r="H291" s="1">
        <v>9411</v>
      </c>
      <c r="I291" s="1">
        <v>13292</v>
      </c>
      <c r="J291" s="1">
        <v>18644</v>
      </c>
      <c r="K291" s="1">
        <f t="shared" si="14"/>
        <v>784.25</v>
      </c>
      <c r="L291" s="1">
        <f t="shared" si="14"/>
        <v>1107.6666666666667</v>
      </c>
      <c r="M291" s="1">
        <f t="shared" si="14"/>
        <v>1553.6666666666667</v>
      </c>
      <c r="N291" t="str">
        <f t="shared" si="12"/>
        <v>NORMANDIE|27 - Eure|CA Evreux Portes de Normandie</v>
      </c>
      <c r="O291" s="1" t="str">
        <f t="shared" si="13"/>
        <v>Province</v>
      </c>
    </row>
    <row r="292" spans="1:15" x14ac:dyDescent="0.25">
      <c r="A292" s="1" t="s">
        <v>675</v>
      </c>
      <c r="B292" t="s">
        <v>688</v>
      </c>
      <c r="C292" t="s">
        <v>689</v>
      </c>
      <c r="D292" t="s">
        <v>692</v>
      </c>
      <c r="E292" t="s">
        <v>693</v>
      </c>
      <c r="F292" t="s">
        <v>20</v>
      </c>
      <c r="G292" t="s">
        <v>21</v>
      </c>
      <c r="H292" s="1">
        <v>10520</v>
      </c>
      <c r="I292" s="1">
        <v>14868</v>
      </c>
      <c r="J292" s="1">
        <v>20004</v>
      </c>
      <c r="K292" s="1">
        <f t="shared" si="14"/>
        <v>876.66666666666663</v>
      </c>
      <c r="L292" s="1">
        <f t="shared" si="14"/>
        <v>1239</v>
      </c>
      <c r="M292" s="1">
        <f t="shared" si="14"/>
        <v>1667</v>
      </c>
      <c r="N292" t="str">
        <f t="shared" si="12"/>
        <v>NORMANDIE|27 - Eure|CA Seine-Eure</v>
      </c>
      <c r="O292" s="1" t="str">
        <f t="shared" si="13"/>
        <v>Province</v>
      </c>
    </row>
    <row r="293" spans="1:15" x14ac:dyDescent="0.25">
      <c r="A293" s="1" t="s">
        <v>675</v>
      </c>
      <c r="B293" t="s">
        <v>688</v>
      </c>
      <c r="C293" t="s">
        <v>689</v>
      </c>
      <c r="D293" t="s">
        <v>694</v>
      </c>
      <c r="E293" t="s">
        <v>695</v>
      </c>
      <c r="F293" t="s">
        <v>20</v>
      </c>
      <c r="G293" t="s">
        <v>21</v>
      </c>
      <c r="H293" s="1">
        <v>9719</v>
      </c>
      <c r="I293" s="1">
        <v>13806</v>
      </c>
      <c r="J293" s="1">
        <v>19200</v>
      </c>
      <c r="K293" s="1">
        <f t="shared" si="14"/>
        <v>809.91666666666663</v>
      </c>
      <c r="L293" s="1">
        <f t="shared" si="14"/>
        <v>1150.5</v>
      </c>
      <c r="M293" s="1">
        <f t="shared" si="14"/>
        <v>1600</v>
      </c>
      <c r="N293" t="str">
        <f t="shared" si="12"/>
        <v>NORMANDIE|27 - Eure|CA Seine Normandie Agglomération</v>
      </c>
      <c r="O293" s="1" t="str">
        <f t="shared" si="13"/>
        <v>Province</v>
      </c>
    </row>
    <row r="294" spans="1:15" x14ac:dyDescent="0.25">
      <c r="A294" s="1" t="s">
        <v>675</v>
      </c>
      <c r="B294" t="s">
        <v>688</v>
      </c>
      <c r="C294" t="s">
        <v>689</v>
      </c>
      <c r="D294" t="s">
        <v>696</v>
      </c>
      <c r="E294" t="s">
        <v>697</v>
      </c>
      <c r="F294" t="s">
        <v>20</v>
      </c>
      <c r="G294" t="s">
        <v>21</v>
      </c>
      <c r="H294" s="1">
        <v>10512</v>
      </c>
      <c r="I294" s="1">
        <v>13815</v>
      </c>
      <c r="J294" s="1">
        <v>18924</v>
      </c>
      <c r="K294" s="1">
        <f t="shared" si="14"/>
        <v>876</v>
      </c>
      <c r="L294" s="1">
        <f t="shared" si="14"/>
        <v>1151.25</v>
      </c>
      <c r="M294" s="1">
        <f t="shared" si="14"/>
        <v>1577</v>
      </c>
      <c r="N294" t="str">
        <f t="shared" si="12"/>
        <v>NORMANDIE|27 - Eure|CC de Pont-Audemer / Val de Risle</v>
      </c>
      <c r="O294" s="1" t="str">
        <f t="shared" si="13"/>
        <v>Province</v>
      </c>
    </row>
    <row r="295" spans="1:15" x14ac:dyDescent="0.25">
      <c r="A295" s="1" t="s">
        <v>675</v>
      </c>
      <c r="B295" t="s">
        <v>688</v>
      </c>
      <c r="C295" t="s">
        <v>689</v>
      </c>
      <c r="D295" t="s">
        <v>682</v>
      </c>
      <c r="E295" t="s">
        <v>683</v>
      </c>
      <c r="F295" t="s">
        <v>20</v>
      </c>
      <c r="G295" t="s">
        <v>21</v>
      </c>
      <c r="H295" s="1">
        <v>11406</v>
      </c>
      <c r="I295" s="1">
        <v>16020</v>
      </c>
      <c r="J295" s="1">
        <v>20434</v>
      </c>
      <c r="K295" s="1">
        <f t="shared" si="14"/>
        <v>950.5</v>
      </c>
      <c r="L295" s="1">
        <f t="shared" si="14"/>
        <v>1335</v>
      </c>
      <c r="M295" s="1">
        <f t="shared" si="14"/>
        <v>1702.8333333333333</v>
      </c>
      <c r="N295" t="str">
        <f t="shared" si="12"/>
        <v>NORMANDIE|27 - Eure|CC du Pays de Honfleur-Beuzeville</v>
      </c>
      <c r="O295" s="1" t="str">
        <f t="shared" si="13"/>
        <v>Province</v>
      </c>
    </row>
    <row r="296" spans="1:15" x14ac:dyDescent="0.25">
      <c r="A296" s="1" t="s">
        <v>675</v>
      </c>
      <c r="B296" t="s">
        <v>688</v>
      </c>
      <c r="C296" t="s">
        <v>689</v>
      </c>
      <c r="D296" t="s">
        <v>698</v>
      </c>
      <c r="E296" t="s">
        <v>699</v>
      </c>
      <c r="F296" t="s">
        <v>20</v>
      </c>
      <c r="G296" t="s">
        <v>21</v>
      </c>
      <c r="H296" s="1">
        <v>10350</v>
      </c>
      <c r="I296" s="1">
        <v>14340</v>
      </c>
      <c r="J296" s="1">
        <v>19320</v>
      </c>
      <c r="K296" s="1">
        <f t="shared" si="14"/>
        <v>862.5</v>
      </c>
      <c r="L296" s="1">
        <f t="shared" si="14"/>
        <v>1195</v>
      </c>
      <c r="M296" s="1">
        <f t="shared" si="14"/>
        <v>1610</v>
      </c>
      <c r="N296" t="str">
        <f t="shared" si="12"/>
        <v>NORMANDIE|27 - Eure|CC du Vexin Normand</v>
      </c>
      <c r="O296" s="1" t="str">
        <f t="shared" si="13"/>
        <v>Province</v>
      </c>
    </row>
    <row r="297" spans="1:15" x14ac:dyDescent="0.25">
      <c r="A297" s="1" t="s">
        <v>675</v>
      </c>
      <c r="B297" t="s">
        <v>688</v>
      </c>
      <c r="C297" t="s">
        <v>689</v>
      </c>
      <c r="D297" t="s">
        <v>700</v>
      </c>
      <c r="E297" t="s">
        <v>701</v>
      </c>
      <c r="F297" t="s">
        <v>20</v>
      </c>
      <c r="G297" t="s">
        <v>21</v>
      </c>
      <c r="H297" s="1">
        <v>8825</v>
      </c>
      <c r="I297" s="1">
        <v>12252</v>
      </c>
      <c r="J297" s="1">
        <v>17031</v>
      </c>
      <c r="K297" s="1">
        <f t="shared" si="14"/>
        <v>735.41666666666663</v>
      </c>
      <c r="L297" s="1">
        <f t="shared" si="14"/>
        <v>1021</v>
      </c>
      <c r="M297" s="1">
        <f t="shared" si="14"/>
        <v>1419.25</v>
      </c>
      <c r="N297" t="str">
        <f t="shared" si="12"/>
        <v>NORMANDIE|27 - Eure|CC Intercom Bernay Terres de Normandie</v>
      </c>
      <c r="O297" s="1" t="str">
        <f t="shared" si="13"/>
        <v>Province</v>
      </c>
    </row>
    <row r="298" spans="1:15" x14ac:dyDescent="0.25">
      <c r="A298" s="1" t="s">
        <v>675</v>
      </c>
      <c r="B298" t="s">
        <v>702</v>
      </c>
      <c r="C298" t="s">
        <v>703</v>
      </c>
      <c r="D298" t="s">
        <v>704</v>
      </c>
      <c r="E298" t="s">
        <v>705</v>
      </c>
      <c r="F298" t="s">
        <v>20</v>
      </c>
      <c r="G298" t="s">
        <v>21</v>
      </c>
      <c r="H298" s="1">
        <v>11472</v>
      </c>
      <c r="I298" s="1">
        <v>15640</v>
      </c>
      <c r="J298" s="1">
        <v>20400</v>
      </c>
      <c r="K298" s="1">
        <f t="shared" si="14"/>
        <v>956</v>
      </c>
      <c r="L298" s="1">
        <f t="shared" si="14"/>
        <v>1303.3333333333333</v>
      </c>
      <c r="M298" s="1">
        <f t="shared" si="14"/>
        <v>1700</v>
      </c>
      <c r="N298" t="str">
        <f t="shared" si="12"/>
        <v>NORMANDIE|50 - Manche|CA du Cotentin</v>
      </c>
      <c r="O298" s="1" t="str">
        <f t="shared" si="13"/>
        <v>Province</v>
      </c>
    </row>
    <row r="299" spans="1:15" x14ac:dyDescent="0.25">
      <c r="A299" s="1" t="s">
        <v>675</v>
      </c>
      <c r="B299" t="s">
        <v>702</v>
      </c>
      <c r="C299" t="s">
        <v>703</v>
      </c>
      <c r="D299" t="s">
        <v>706</v>
      </c>
      <c r="E299" t="s">
        <v>707</v>
      </c>
      <c r="F299" t="s">
        <v>20</v>
      </c>
      <c r="G299" t="s">
        <v>21</v>
      </c>
      <c r="H299" s="1">
        <v>10033</v>
      </c>
      <c r="I299" s="1">
        <v>13794</v>
      </c>
      <c r="J299" s="1">
        <v>18180</v>
      </c>
      <c r="K299" s="1">
        <f t="shared" si="14"/>
        <v>836.08333333333337</v>
      </c>
      <c r="L299" s="1">
        <f t="shared" si="14"/>
        <v>1149.5</v>
      </c>
      <c r="M299" s="1">
        <f t="shared" si="14"/>
        <v>1515</v>
      </c>
      <c r="N299" t="str">
        <f t="shared" si="12"/>
        <v>NORMANDIE|50 - Manche|CA Mont-Saint-Michel-Normandie</v>
      </c>
      <c r="O299" s="1" t="str">
        <f t="shared" si="13"/>
        <v>Province</v>
      </c>
    </row>
    <row r="300" spans="1:15" x14ac:dyDescent="0.25">
      <c r="A300" s="1" t="s">
        <v>675</v>
      </c>
      <c r="B300" t="s">
        <v>702</v>
      </c>
      <c r="C300" t="s">
        <v>703</v>
      </c>
      <c r="D300" t="s">
        <v>708</v>
      </c>
      <c r="E300" t="s">
        <v>709</v>
      </c>
      <c r="F300" t="s">
        <v>20</v>
      </c>
      <c r="G300" t="s">
        <v>21</v>
      </c>
      <c r="H300" s="1">
        <v>10954</v>
      </c>
      <c r="I300" s="1">
        <v>14570</v>
      </c>
      <c r="J300" s="1">
        <v>19368</v>
      </c>
      <c r="K300" s="1">
        <f t="shared" si="14"/>
        <v>912.83333333333337</v>
      </c>
      <c r="L300" s="1">
        <f t="shared" si="14"/>
        <v>1214.1666666666667</v>
      </c>
      <c r="M300" s="1">
        <f t="shared" si="14"/>
        <v>1614</v>
      </c>
      <c r="N300" t="str">
        <f t="shared" si="12"/>
        <v>NORMANDIE|50 - Manche|CA Saint-Lô Agglo</v>
      </c>
      <c r="O300" s="1" t="str">
        <f t="shared" si="13"/>
        <v>Province</v>
      </c>
    </row>
    <row r="301" spans="1:15" x14ac:dyDescent="0.25">
      <c r="A301" s="1" t="s">
        <v>675</v>
      </c>
      <c r="B301" t="s">
        <v>702</v>
      </c>
      <c r="C301" t="s">
        <v>703</v>
      </c>
      <c r="D301" t="s">
        <v>710</v>
      </c>
      <c r="E301" t="s">
        <v>711</v>
      </c>
      <c r="F301" t="s">
        <v>20</v>
      </c>
      <c r="G301" t="s">
        <v>21</v>
      </c>
      <c r="H301" s="1">
        <v>10956</v>
      </c>
      <c r="I301" s="1">
        <v>14418</v>
      </c>
      <c r="J301" s="1">
        <v>19200</v>
      </c>
      <c r="K301" s="1">
        <f t="shared" si="14"/>
        <v>913</v>
      </c>
      <c r="L301" s="1">
        <f t="shared" si="14"/>
        <v>1201.5</v>
      </c>
      <c r="M301" s="1">
        <f t="shared" si="14"/>
        <v>1600</v>
      </c>
      <c r="N301" t="str">
        <f t="shared" si="12"/>
        <v>NORMANDIE|50 - Manche|CC Coutances Mer et Bocage</v>
      </c>
      <c r="O301" s="1" t="str">
        <f t="shared" si="13"/>
        <v>Province</v>
      </c>
    </row>
    <row r="302" spans="1:15" x14ac:dyDescent="0.25">
      <c r="A302" s="1" t="s">
        <v>675</v>
      </c>
      <c r="B302" t="s">
        <v>702</v>
      </c>
      <c r="C302" t="s">
        <v>703</v>
      </c>
      <c r="D302" t="s">
        <v>712</v>
      </c>
      <c r="E302" t="s">
        <v>713</v>
      </c>
      <c r="F302" t="s">
        <v>20</v>
      </c>
      <c r="G302" t="s">
        <v>21</v>
      </c>
      <c r="H302" s="1">
        <v>11400</v>
      </c>
      <c r="I302" s="1">
        <v>14730</v>
      </c>
      <c r="J302" s="1">
        <v>19296</v>
      </c>
      <c r="K302" s="1">
        <f t="shared" si="14"/>
        <v>950</v>
      </c>
      <c r="L302" s="1">
        <f t="shared" si="14"/>
        <v>1227.5</v>
      </c>
      <c r="M302" s="1">
        <f t="shared" si="14"/>
        <v>1608</v>
      </c>
      <c r="N302" t="str">
        <f t="shared" si="12"/>
        <v>NORMANDIE|50 - Manche|CC de Granville, Terre et Mer</v>
      </c>
      <c r="O302" s="1" t="str">
        <f t="shared" si="13"/>
        <v>Province</v>
      </c>
    </row>
    <row r="303" spans="1:15" x14ac:dyDescent="0.25">
      <c r="A303" s="1" t="s">
        <v>675</v>
      </c>
      <c r="B303" t="s">
        <v>714</v>
      </c>
      <c r="C303" t="s">
        <v>715</v>
      </c>
      <c r="D303" t="s">
        <v>716</v>
      </c>
      <c r="E303" t="s">
        <v>717</v>
      </c>
      <c r="F303" t="s">
        <v>20</v>
      </c>
      <c r="G303" t="s">
        <v>21</v>
      </c>
      <c r="H303" s="1">
        <v>8772</v>
      </c>
      <c r="I303" s="1">
        <v>12458</v>
      </c>
      <c r="J303" s="1">
        <v>18052</v>
      </c>
      <c r="K303" s="1">
        <f t="shared" si="14"/>
        <v>731</v>
      </c>
      <c r="L303" s="1">
        <f t="shared" si="14"/>
        <v>1038.1666666666667</v>
      </c>
      <c r="M303" s="1">
        <f t="shared" si="14"/>
        <v>1504.3333333333333</v>
      </c>
      <c r="N303" t="str">
        <f t="shared" si="12"/>
        <v>NORMANDIE|61 - Orne|CA Flers Agglo</v>
      </c>
      <c r="O303" s="1" t="str">
        <f t="shared" si="13"/>
        <v>Province</v>
      </c>
    </row>
    <row r="304" spans="1:15" x14ac:dyDescent="0.25">
      <c r="A304" s="1" t="s">
        <v>675</v>
      </c>
      <c r="B304" t="s">
        <v>714</v>
      </c>
      <c r="C304" t="s">
        <v>715</v>
      </c>
      <c r="D304" t="s">
        <v>718</v>
      </c>
      <c r="E304" t="s">
        <v>719</v>
      </c>
      <c r="F304" t="s">
        <v>20</v>
      </c>
      <c r="G304" t="s">
        <v>21</v>
      </c>
      <c r="H304" s="1">
        <v>8114</v>
      </c>
      <c r="I304" s="1">
        <v>12196</v>
      </c>
      <c r="J304" s="1">
        <v>17489</v>
      </c>
      <c r="K304" s="1">
        <f t="shared" si="14"/>
        <v>676.16666666666663</v>
      </c>
      <c r="L304" s="1">
        <f t="shared" si="14"/>
        <v>1016.3333333333334</v>
      </c>
      <c r="M304" s="1">
        <f t="shared" si="14"/>
        <v>1457.4166666666667</v>
      </c>
      <c r="N304" t="str">
        <f t="shared" si="12"/>
        <v>NORMANDIE|61 - Orne|CC des Pays de L'Aigle</v>
      </c>
      <c r="O304" s="1" t="str">
        <f t="shared" si="13"/>
        <v>Province</v>
      </c>
    </row>
    <row r="305" spans="1:15" x14ac:dyDescent="0.25">
      <c r="A305" s="1" t="s">
        <v>675</v>
      </c>
      <c r="B305" t="s">
        <v>714</v>
      </c>
      <c r="C305" t="s">
        <v>715</v>
      </c>
      <c r="D305" t="s">
        <v>720</v>
      </c>
      <c r="E305" t="s">
        <v>721</v>
      </c>
      <c r="F305" t="s">
        <v>20</v>
      </c>
      <c r="G305" t="s">
        <v>21</v>
      </c>
      <c r="H305" s="1">
        <v>8400</v>
      </c>
      <c r="I305" s="1">
        <v>12614</v>
      </c>
      <c r="J305" s="1">
        <v>18234</v>
      </c>
      <c r="K305" s="1">
        <f t="shared" si="14"/>
        <v>700</v>
      </c>
      <c r="L305" s="1">
        <f t="shared" si="14"/>
        <v>1051.1666666666667</v>
      </c>
      <c r="M305" s="1">
        <f t="shared" si="14"/>
        <v>1519.5</v>
      </c>
      <c r="N305" t="str">
        <f t="shared" si="12"/>
        <v>NORMANDIE|61 - Orne|CU d'Alençon</v>
      </c>
      <c r="O305" s="1" t="str">
        <f t="shared" si="13"/>
        <v>Province</v>
      </c>
    </row>
    <row r="306" spans="1:15" x14ac:dyDescent="0.25">
      <c r="A306" s="1" t="s">
        <v>675</v>
      </c>
      <c r="B306" t="s">
        <v>714</v>
      </c>
      <c r="C306" t="s">
        <v>715</v>
      </c>
      <c r="D306" t="s">
        <v>722</v>
      </c>
      <c r="E306" t="s">
        <v>723</v>
      </c>
      <c r="F306" t="s">
        <v>20</v>
      </c>
      <c r="G306" t="s">
        <v>21</v>
      </c>
      <c r="H306" s="1">
        <v>9060</v>
      </c>
      <c r="I306" s="1">
        <v>12942</v>
      </c>
      <c r="J306" s="1">
        <v>18000</v>
      </c>
      <c r="K306" s="1">
        <f t="shared" si="14"/>
        <v>755</v>
      </c>
      <c r="L306" s="1">
        <f t="shared" si="14"/>
        <v>1078.5</v>
      </c>
      <c r="M306" s="1">
        <f t="shared" si="14"/>
        <v>1500</v>
      </c>
      <c r="N306" t="str">
        <f t="shared" si="12"/>
        <v>NORMANDIE|61 - Orne|Terres d'Argentan Interco</v>
      </c>
      <c r="O306" s="1" t="str">
        <f t="shared" si="13"/>
        <v>Province</v>
      </c>
    </row>
    <row r="307" spans="1:15" x14ac:dyDescent="0.25">
      <c r="A307" s="1" t="s">
        <v>675</v>
      </c>
      <c r="B307" t="s">
        <v>724</v>
      </c>
      <c r="C307" t="s">
        <v>725</v>
      </c>
      <c r="D307" t="s">
        <v>726</v>
      </c>
      <c r="E307" t="s">
        <v>727</v>
      </c>
      <c r="F307" t="s">
        <v>20</v>
      </c>
      <c r="G307" t="s">
        <v>21</v>
      </c>
      <c r="H307" s="1">
        <v>10211</v>
      </c>
      <c r="I307" s="1">
        <v>14400</v>
      </c>
      <c r="J307" s="1">
        <v>19596</v>
      </c>
      <c r="K307" s="1">
        <f t="shared" si="14"/>
        <v>850.91666666666663</v>
      </c>
      <c r="L307" s="1">
        <f t="shared" si="14"/>
        <v>1200</v>
      </c>
      <c r="M307" s="1">
        <f t="shared" si="14"/>
        <v>1633</v>
      </c>
      <c r="N307" t="str">
        <f t="shared" si="12"/>
        <v>NORMANDIE|76 - Seine-Maritime|CA Caux Seine Agglo</v>
      </c>
      <c r="O307" s="1" t="str">
        <f t="shared" si="13"/>
        <v>Province</v>
      </c>
    </row>
    <row r="308" spans="1:15" x14ac:dyDescent="0.25">
      <c r="A308" s="1" t="s">
        <v>675</v>
      </c>
      <c r="B308" t="s">
        <v>724</v>
      </c>
      <c r="C308" t="s">
        <v>725</v>
      </c>
      <c r="D308" t="s">
        <v>728</v>
      </c>
      <c r="E308" t="s">
        <v>729</v>
      </c>
      <c r="F308" t="s">
        <v>20</v>
      </c>
      <c r="G308" t="s">
        <v>21</v>
      </c>
      <c r="H308" s="1">
        <v>10388</v>
      </c>
      <c r="I308" s="1">
        <v>14488</v>
      </c>
      <c r="J308" s="1">
        <v>19888</v>
      </c>
      <c r="K308" s="1">
        <f t="shared" si="14"/>
        <v>865.66666666666663</v>
      </c>
      <c r="L308" s="1">
        <f t="shared" si="14"/>
        <v>1207.3333333333333</v>
      </c>
      <c r="M308" s="1">
        <f t="shared" si="14"/>
        <v>1657.3333333333333</v>
      </c>
      <c r="N308" t="str">
        <f t="shared" si="12"/>
        <v>NORMANDIE|76 - Seine-Maritime|CA de la Région Dieppoise</v>
      </c>
      <c r="O308" s="1" t="str">
        <f t="shared" si="13"/>
        <v>Province</v>
      </c>
    </row>
    <row r="309" spans="1:15" x14ac:dyDescent="0.25">
      <c r="A309" s="1" t="s">
        <v>675</v>
      </c>
      <c r="B309" t="s">
        <v>724</v>
      </c>
      <c r="C309" t="s">
        <v>725</v>
      </c>
      <c r="D309" t="s">
        <v>730</v>
      </c>
      <c r="E309" t="s">
        <v>731</v>
      </c>
      <c r="F309" t="s">
        <v>20</v>
      </c>
      <c r="G309" t="s">
        <v>21</v>
      </c>
      <c r="H309" s="1">
        <v>10668</v>
      </c>
      <c r="I309" s="1">
        <v>13985</v>
      </c>
      <c r="J309" s="1">
        <v>19080</v>
      </c>
      <c r="K309" s="1">
        <f t="shared" si="14"/>
        <v>889</v>
      </c>
      <c r="L309" s="1">
        <f t="shared" si="14"/>
        <v>1165.4166666666667</v>
      </c>
      <c r="M309" s="1">
        <f t="shared" si="14"/>
        <v>1590</v>
      </c>
      <c r="N309" t="str">
        <f t="shared" si="12"/>
        <v>NORMANDIE|76 - Seine-Maritime|CA Fécamp Caux Littoral Agglomération</v>
      </c>
      <c r="O309" s="1" t="str">
        <f t="shared" si="13"/>
        <v>Province</v>
      </c>
    </row>
    <row r="310" spans="1:15" x14ac:dyDescent="0.25">
      <c r="A310" s="1" t="s">
        <v>675</v>
      </c>
      <c r="B310" t="s">
        <v>724</v>
      </c>
      <c r="C310" t="s">
        <v>725</v>
      </c>
      <c r="D310" t="s">
        <v>732</v>
      </c>
      <c r="E310" t="s">
        <v>733</v>
      </c>
      <c r="F310" t="s">
        <v>20</v>
      </c>
      <c r="G310" t="s">
        <v>21</v>
      </c>
      <c r="H310" s="1">
        <v>11382</v>
      </c>
      <c r="I310" s="1">
        <v>15709</v>
      </c>
      <c r="J310" s="1">
        <v>20756</v>
      </c>
      <c r="K310" s="1">
        <f t="shared" si="14"/>
        <v>948.5</v>
      </c>
      <c r="L310" s="1">
        <f t="shared" si="14"/>
        <v>1309.0833333333333</v>
      </c>
      <c r="M310" s="1">
        <f t="shared" si="14"/>
        <v>1729.6666666666667</v>
      </c>
      <c r="N310" t="str">
        <f t="shared" si="12"/>
        <v>NORMANDIE|76 - Seine-Maritime|CC Caux - Austreberthe</v>
      </c>
      <c r="O310" s="1" t="str">
        <f t="shared" si="13"/>
        <v>Province</v>
      </c>
    </row>
    <row r="311" spans="1:15" x14ac:dyDescent="0.25">
      <c r="A311" s="1" t="s">
        <v>675</v>
      </c>
      <c r="B311" t="s">
        <v>724</v>
      </c>
      <c r="C311" t="s">
        <v>725</v>
      </c>
      <c r="D311" t="s">
        <v>734</v>
      </c>
      <c r="E311" t="s">
        <v>735</v>
      </c>
      <c r="F311" t="s">
        <v>20</v>
      </c>
      <c r="G311" t="s">
        <v>21</v>
      </c>
      <c r="H311" s="1">
        <v>9924</v>
      </c>
      <c r="I311" s="1">
        <v>14400</v>
      </c>
      <c r="J311" s="1">
        <v>19728</v>
      </c>
      <c r="K311" s="1">
        <f t="shared" si="14"/>
        <v>827</v>
      </c>
      <c r="L311" s="1">
        <f t="shared" si="14"/>
        <v>1200</v>
      </c>
      <c r="M311" s="1">
        <f t="shared" si="14"/>
        <v>1644</v>
      </c>
      <c r="N311" t="str">
        <f t="shared" si="12"/>
        <v>NORMANDIE|76 - Seine-Maritime|Le Havre Seine Métropole</v>
      </c>
      <c r="O311" s="1" t="str">
        <f t="shared" si="13"/>
        <v>Province</v>
      </c>
    </row>
    <row r="312" spans="1:15" x14ac:dyDescent="0.25">
      <c r="A312" s="1" t="s">
        <v>675</v>
      </c>
      <c r="B312" t="s">
        <v>724</v>
      </c>
      <c r="C312" t="s">
        <v>725</v>
      </c>
      <c r="D312" t="s">
        <v>736</v>
      </c>
      <c r="E312" t="s">
        <v>737</v>
      </c>
      <c r="F312" t="s">
        <v>20</v>
      </c>
      <c r="G312" t="s">
        <v>21</v>
      </c>
      <c r="H312" s="1">
        <v>9600</v>
      </c>
      <c r="I312" s="1">
        <v>13964</v>
      </c>
      <c r="J312" s="1">
        <v>19224</v>
      </c>
      <c r="K312" s="1">
        <f t="shared" si="14"/>
        <v>800</v>
      </c>
      <c r="L312" s="1">
        <f t="shared" si="14"/>
        <v>1163.6666666666667</v>
      </c>
      <c r="M312" s="1">
        <f t="shared" si="14"/>
        <v>1602</v>
      </c>
      <c r="N312" t="str">
        <f t="shared" si="12"/>
        <v>NORMANDIE|76 - Seine-Maritime|Métropole Rouen Normandie</v>
      </c>
      <c r="O312" s="1" t="str">
        <f t="shared" si="13"/>
        <v>Province</v>
      </c>
    </row>
    <row r="313" spans="1:15" x14ac:dyDescent="0.25">
      <c r="A313" s="1" t="s">
        <v>738</v>
      </c>
      <c r="B313" t="s">
        <v>739</v>
      </c>
      <c r="C313" t="s">
        <v>740</v>
      </c>
      <c r="D313" t="s">
        <v>741</v>
      </c>
      <c r="E313" t="s">
        <v>742</v>
      </c>
      <c r="F313" t="s">
        <v>20</v>
      </c>
      <c r="G313" t="s">
        <v>21</v>
      </c>
      <c r="H313" s="1">
        <v>9009</v>
      </c>
      <c r="I313" s="1">
        <v>12877</v>
      </c>
      <c r="J313" s="1">
        <v>18000</v>
      </c>
      <c r="K313" s="1">
        <f t="shared" si="14"/>
        <v>750.75</v>
      </c>
      <c r="L313" s="1">
        <f t="shared" si="14"/>
        <v>1073.0833333333333</v>
      </c>
      <c r="M313" s="1">
        <f t="shared" si="14"/>
        <v>1500</v>
      </c>
      <c r="N313" t="str">
        <f t="shared" si="12"/>
        <v>NOUVELLE-AQUITAINE|16 - Charente|CA du Grand Angoulême</v>
      </c>
      <c r="O313" s="1" t="str">
        <f t="shared" si="13"/>
        <v>Province</v>
      </c>
    </row>
    <row r="314" spans="1:15" x14ac:dyDescent="0.25">
      <c r="A314" s="1" t="s">
        <v>738</v>
      </c>
      <c r="B314" t="s">
        <v>739</v>
      </c>
      <c r="C314" t="s">
        <v>740</v>
      </c>
      <c r="D314" t="s">
        <v>743</v>
      </c>
      <c r="E314" t="s">
        <v>744</v>
      </c>
      <c r="F314" t="s">
        <v>20</v>
      </c>
      <c r="G314" t="s">
        <v>21</v>
      </c>
      <c r="H314" s="1">
        <v>9576</v>
      </c>
      <c r="I314" s="1">
        <v>13044</v>
      </c>
      <c r="J314" s="1">
        <v>18432</v>
      </c>
      <c r="K314" s="1">
        <f t="shared" si="14"/>
        <v>798</v>
      </c>
      <c r="L314" s="1">
        <f t="shared" si="14"/>
        <v>1087</v>
      </c>
      <c r="M314" s="1">
        <f t="shared" si="14"/>
        <v>1536</v>
      </c>
      <c r="N314" t="str">
        <f t="shared" si="12"/>
        <v>NOUVELLE-AQUITAINE|16 - Charente|CA du Grand Cognac</v>
      </c>
      <c r="O314" s="1" t="str">
        <f t="shared" si="13"/>
        <v>Province</v>
      </c>
    </row>
    <row r="315" spans="1:15" x14ac:dyDescent="0.25">
      <c r="A315" s="1" t="s">
        <v>738</v>
      </c>
      <c r="B315" t="s">
        <v>745</v>
      </c>
      <c r="C315" t="s">
        <v>746</v>
      </c>
      <c r="D315" t="s">
        <v>747</v>
      </c>
      <c r="E315" t="s">
        <v>748</v>
      </c>
      <c r="F315" t="s">
        <v>20</v>
      </c>
      <c r="G315" t="s">
        <v>21</v>
      </c>
      <c r="H315" s="1">
        <v>11440</v>
      </c>
      <c r="I315" s="1">
        <v>15540</v>
      </c>
      <c r="J315" s="1">
        <v>20400</v>
      </c>
      <c r="K315" s="1">
        <f t="shared" si="14"/>
        <v>953.33333333333337</v>
      </c>
      <c r="L315" s="1">
        <f t="shared" si="14"/>
        <v>1295</v>
      </c>
      <c r="M315" s="1">
        <f t="shared" si="14"/>
        <v>1700</v>
      </c>
      <c r="N315" t="str">
        <f t="shared" si="12"/>
        <v>NOUVELLE-AQUITAINE|17 - Charente-Maritime|CA de La Rochelle</v>
      </c>
      <c r="O315" s="1" t="str">
        <f t="shared" si="13"/>
        <v>Province</v>
      </c>
    </row>
    <row r="316" spans="1:15" x14ac:dyDescent="0.25">
      <c r="A316" s="1" t="s">
        <v>738</v>
      </c>
      <c r="B316" t="s">
        <v>745</v>
      </c>
      <c r="C316" t="s">
        <v>746</v>
      </c>
      <c r="D316" t="s">
        <v>749</v>
      </c>
      <c r="E316" t="s">
        <v>750</v>
      </c>
      <c r="F316" t="s">
        <v>20</v>
      </c>
      <c r="G316" t="s">
        <v>21</v>
      </c>
      <c r="H316" s="1">
        <v>10982</v>
      </c>
      <c r="I316" s="1">
        <v>13824</v>
      </c>
      <c r="J316" s="1">
        <v>18860</v>
      </c>
      <c r="K316" s="1">
        <f t="shared" si="14"/>
        <v>915.16666666666663</v>
      </c>
      <c r="L316" s="1">
        <f t="shared" si="14"/>
        <v>1152</v>
      </c>
      <c r="M316" s="1">
        <f t="shared" si="14"/>
        <v>1571.6666666666667</v>
      </c>
      <c r="N316" t="str">
        <f t="shared" si="12"/>
        <v>NOUVELLE-AQUITAINE|17 - Charente-Maritime|CA Rochefort Océan</v>
      </c>
      <c r="O316" s="1" t="str">
        <f t="shared" si="13"/>
        <v>Province</v>
      </c>
    </row>
    <row r="317" spans="1:15" x14ac:dyDescent="0.25">
      <c r="A317" s="1" t="s">
        <v>738</v>
      </c>
      <c r="B317" t="s">
        <v>745</v>
      </c>
      <c r="C317" t="s">
        <v>746</v>
      </c>
      <c r="D317" t="s">
        <v>751</v>
      </c>
      <c r="E317" t="s">
        <v>752</v>
      </c>
      <c r="F317" t="s">
        <v>20</v>
      </c>
      <c r="G317" t="s">
        <v>21</v>
      </c>
      <c r="H317" s="1">
        <v>11073</v>
      </c>
      <c r="I317" s="1">
        <v>14400</v>
      </c>
      <c r="J317" s="1">
        <v>19055</v>
      </c>
      <c r="K317" s="1">
        <f t="shared" si="14"/>
        <v>922.75</v>
      </c>
      <c r="L317" s="1">
        <f t="shared" si="14"/>
        <v>1200</v>
      </c>
      <c r="M317" s="1">
        <f t="shared" si="14"/>
        <v>1587.9166666666667</v>
      </c>
      <c r="N317" t="str">
        <f t="shared" si="12"/>
        <v>NOUVELLE-AQUITAINE|17 - Charente-Maritime|CA Royan Atlantique</v>
      </c>
      <c r="O317" s="1" t="str">
        <f t="shared" si="13"/>
        <v>Province</v>
      </c>
    </row>
    <row r="318" spans="1:15" x14ac:dyDescent="0.25">
      <c r="A318" s="1" t="s">
        <v>738</v>
      </c>
      <c r="B318" t="s">
        <v>745</v>
      </c>
      <c r="C318" t="s">
        <v>746</v>
      </c>
      <c r="D318" t="s">
        <v>753</v>
      </c>
      <c r="E318" t="s">
        <v>754</v>
      </c>
      <c r="F318" t="s">
        <v>20</v>
      </c>
      <c r="G318" t="s">
        <v>21</v>
      </c>
      <c r="H318" s="1">
        <v>10055</v>
      </c>
      <c r="I318" s="1">
        <v>12960</v>
      </c>
      <c r="J318" s="1">
        <v>18049</v>
      </c>
      <c r="K318" s="1">
        <f t="shared" si="14"/>
        <v>837.91666666666663</v>
      </c>
      <c r="L318" s="1">
        <f t="shared" si="14"/>
        <v>1080</v>
      </c>
      <c r="M318" s="1">
        <f t="shared" si="14"/>
        <v>1504.0833333333333</v>
      </c>
      <c r="N318" t="str">
        <f t="shared" si="12"/>
        <v>NOUVELLE-AQUITAINE|17 - Charente-Maritime|CA ""Saintes - Grandes Rives - L'Agglo""</v>
      </c>
      <c r="O318" s="1" t="str">
        <f t="shared" si="13"/>
        <v>Province</v>
      </c>
    </row>
    <row r="319" spans="1:15" x14ac:dyDescent="0.25">
      <c r="A319" s="1" t="s">
        <v>738</v>
      </c>
      <c r="B319" t="s">
        <v>755</v>
      </c>
      <c r="C319" t="s">
        <v>756</v>
      </c>
      <c r="D319" t="s">
        <v>757</v>
      </c>
      <c r="E319" t="s">
        <v>758</v>
      </c>
      <c r="F319" t="s">
        <v>20</v>
      </c>
      <c r="G319" t="s">
        <v>21</v>
      </c>
      <c r="H319" s="1">
        <v>9351</v>
      </c>
      <c r="I319" s="1">
        <v>13108</v>
      </c>
      <c r="J319" s="1">
        <v>17760</v>
      </c>
      <c r="K319" s="1">
        <f t="shared" si="14"/>
        <v>779.25</v>
      </c>
      <c r="L319" s="1">
        <f t="shared" si="14"/>
        <v>1092.3333333333333</v>
      </c>
      <c r="M319" s="1">
        <f t="shared" si="14"/>
        <v>1480</v>
      </c>
      <c r="N319" t="str">
        <f t="shared" si="12"/>
        <v>NOUVELLE-AQUITAINE|19 - Corrèze|CA du Bassin de Brive</v>
      </c>
      <c r="O319" s="1" t="str">
        <f t="shared" si="13"/>
        <v>Province</v>
      </c>
    </row>
    <row r="320" spans="1:15" x14ac:dyDescent="0.25">
      <c r="A320" s="1" t="s">
        <v>738</v>
      </c>
      <c r="B320" t="s">
        <v>755</v>
      </c>
      <c r="C320" t="s">
        <v>756</v>
      </c>
      <c r="D320" t="s">
        <v>759</v>
      </c>
      <c r="E320" t="s">
        <v>760</v>
      </c>
      <c r="F320" t="s">
        <v>20</v>
      </c>
      <c r="G320" t="s">
        <v>21</v>
      </c>
      <c r="H320" s="1">
        <v>8268</v>
      </c>
      <c r="I320" s="1">
        <v>12600</v>
      </c>
      <c r="J320" s="1">
        <v>18000</v>
      </c>
      <c r="K320" s="1">
        <f t="shared" si="14"/>
        <v>689</v>
      </c>
      <c r="L320" s="1">
        <f t="shared" si="14"/>
        <v>1050</v>
      </c>
      <c r="M320" s="1">
        <f t="shared" si="14"/>
        <v>1500</v>
      </c>
      <c r="N320" t="str">
        <f t="shared" si="12"/>
        <v>NOUVELLE-AQUITAINE|19 - Corrèze|CA Tulle Agglo</v>
      </c>
      <c r="O320" s="1" t="str">
        <f t="shared" si="13"/>
        <v>Province</v>
      </c>
    </row>
    <row r="321" spans="1:15" x14ac:dyDescent="0.25">
      <c r="A321" s="1" t="s">
        <v>738</v>
      </c>
      <c r="B321" t="s">
        <v>761</v>
      </c>
      <c r="C321" t="s">
        <v>762</v>
      </c>
      <c r="D321" t="s">
        <v>763</v>
      </c>
      <c r="E321" t="s">
        <v>764</v>
      </c>
      <c r="F321" t="s">
        <v>20</v>
      </c>
      <c r="G321" t="s">
        <v>21</v>
      </c>
      <c r="H321" s="1">
        <v>8045</v>
      </c>
      <c r="I321" s="1">
        <v>12192</v>
      </c>
      <c r="J321" s="1">
        <v>16941</v>
      </c>
      <c r="K321" s="1">
        <f t="shared" si="14"/>
        <v>670.41666666666663</v>
      </c>
      <c r="L321" s="1">
        <f t="shared" si="14"/>
        <v>1016</v>
      </c>
      <c r="M321" s="1">
        <f t="shared" si="14"/>
        <v>1411.75</v>
      </c>
      <c r="N321" t="str">
        <f t="shared" si="12"/>
        <v>NOUVELLE-AQUITAINE|23 - Creuse|CA du Grand Guéret</v>
      </c>
      <c r="O321" s="1" t="str">
        <f t="shared" si="13"/>
        <v>Province</v>
      </c>
    </row>
    <row r="322" spans="1:15" x14ac:dyDescent="0.25">
      <c r="A322" s="1" t="s">
        <v>738</v>
      </c>
      <c r="B322" t="s">
        <v>765</v>
      </c>
      <c r="C322" t="s">
        <v>766</v>
      </c>
      <c r="D322" t="s">
        <v>767</v>
      </c>
      <c r="E322" t="s">
        <v>768</v>
      </c>
      <c r="F322" t="s">
        <v>20</v>
      </c>
      <c r="G322" t="s">
        <v>21</v>
      </c>
      <c r="H322" s="1">
        <v>8611</v>
      </c>
      <c r="I322" s="1">
        <v>12192</v>
      </c>
      <c r="J322" s="1">
        <v>16523</v>
      </c>
      <c r="K322" s="1">
        <f t="shared" si="14"/>
        <v>717.58333333333337</v>
      </c>
      <c r="L322" s="1">
        <f t="shared" si="14"/>
        <v>1016</v>
      </c>
      <c r="M322" s="1">
        <f t="shared" si="14"/>
        <v>1376.9166666666667</v>
      </c>
      <c r="N322" t="str">
        <f t="shared" ref="N322:N385" si="15">SUBSTITUTE(
   UPPER(SUBSTITUTE(TRIM(A322), CHAR(160), " ")) &amp; "|" &amp;
   SUBSTITUTE(TRIM(C322), CHAR(160), " ") &amp; "|" &amp;
   SUBSTITUTE(TRIM(D322), CHAR(160), " "),
   "–", "-"
)</f>
        <v>NOUVELLE-AQUITAINE|24 - Dordogne|CA Bergeracoise</v>
      </c>
      <c r="O322" s="1" t="str">
        <f t="shared" ref="O322:O385" si="16">IF(A322="Hauts-de-France", "HDF",
IF(A322="Île-de-France", "IDF",
IF(OR(A322="Guadeloupe", A322="Martinique", A322="Guyane", A322="La Réunion", A322="Mayotte"), "OM", "Province")))</f>
        <v>Province</v>
      </c>
    </row>
    <row r="323" spans="1:15" x14ac:dyDescent="0.25">
      <c r="A323" s="1" t="s">
        <v>738</v>
      </c>
      <c r="B323" t="s">
        <v>765</v>
      </c>
      <c r="C323" t="s">
        <v>766</v>
      </c>
      <c r="D323" t="s">
        <v>769</v>
      </c>
      <c r="E323" t="s">
        <v>770</v>
      </c>
      <c r="F323" t="s">
        <v>20</v>
      </c>
      <c r="G323" t="s">
        <v>21</v>
      </c>
      <c r="H323" s="1">
        <v>8939</v>
      </c>
      <c r="I323" s="1">
        <v>12730</v>
      </c>
      <c r="J323" s="1">
        <v>18000</v>
      </c>
      <c r="K323" s="1">
        <f t="shared" ref="K323:M386" si="17">H323/12</f>
        <v>744.91666666666663</v>
      </c>
      <c r="L323" s="1">
        <f t="shared" si="17"/>
        <v>1060.8333333333333</v>
      </c>
      <c r="M323" s="1">
        <f t="shared" si="17"/>
        <v>1500</v>
      </c>
      <c r="N323" t="str">
        <f t="shared" si="15"/>
        <v>NOUVELLE-AQUITAINE|24 - Dordogne|CA Le Grand Périgueux</v>
      </c>
      <c r="O323" s="1" t="str">
        <f t="shared" si="16"/>
        <v>Province</v>
      </c>
    </row>
    <row r="324" spans="1:15" x14ac:dyDescent="0.25">
      <c r="A324" s="1" t="s">
        <v>738</v>
      </c>
      <c r="B324" t="s">
        <v>765</v>
      </c>
      <c r="C324" t="s">
        <v>766</v>
      </c>
      <c r="D324" t="s">
        <v>771</v>
      </c>
      <c r="E324" t="s">
        <v>772</v>
      </c>
      <c r="F324" t="s">
        <v>20</v>
      </c>
      <c r="G324" t="s">
        <v>21</v>
      </c>
      <c r="H324" s="1">
        <v>7708</v>
      </c>
      <c r="I324" s="1">
        <v>11652</v>
      </c>
      <c r="J324" s="1">
        <v>16115</v>
      </c>
      <c r="K324" s="1">
        <f t="shared" si="17"/>
        <v>642.33333333333337</v>
      </c>
      <c r="L324" s="1">
        <f t="shared" si="17"/>
        <v>971</v>
      </c>
      <c r="M324" s="1">
        <f t="shared" si="17"/>
        <v>1342.9166666666667</v>
      </c>
      <c r="N324" t="str">
        <f t="shared" si="15"/>
        <v>NOUVELLE-AQUITAINE|24 - Dordogne|CC du Pays Foyen</v>
      </c>
      <c r="O324" s="1" t="str">
        <f t="shared" si="16"/>
        <v>Province</v>
      </c>
    </row>
    <row r="325" spans="1:15" x14ac:dyDescent="0.25">
      <c r="A325" s="1" t="s">
        <v>738</v>
      </c>
      <c r="B325" t="s">
        <v>773</v>
      </c>
      <c r="C325" t="s">
        <v>774</v>
      </c>
      <c r="D325" t="s">
        <v>775</v>
      </c>
      <c r="E325" t="s">
        <v>776</v>
      </c>
      <c r="F325" t="s">
        <v>20</v>
      </c>
      <c r="G325" t="s">
        <v>21</v>
      </c>
      <c r="H325" s="1">
        <v>11148</v>
      </c>
      <c r="I325" s="1">
        <v>15924</v>
      </c>
      <c r="J325" s="1">
        <v>20880</v>
      </c>
      <c r="K325" s="1">
        <f t="shared" si="17"/>
        <v>929</v>
      </c>
      <c r="L325" s="1">
        <f t="shared" si="17"/>
        <v>1327</v>
      </c>
      <c r="M325" s="1">
        <f t="shared" si="17"/>
        <v>1740</v>
      </c>
      <c r="N325" t="str">
        <f t="shared" si="15"/>
        <v>NOUVELLE-AQUITAINE|33 - Gironde|Bordeaux Métropole</v>
      </c>
      <c r="O325" s="1" t="str">
        <f t="shared" si="16"/>
        <v>Province</v>
      </c>
    </row>
    <row r="326" spans="1:15" x14ac:dyDescent="0.25">
      <c r="A326" s="1" t="s">
        <v>738</v>
      </c>
      <c r="B326" t="s">
        <v>773</v>
      </c>
      <c r="C326" t="s">
        <v>774</v>
      </c>
      <c r="D326" t="s">
        <v>777</v>
      </c>
      <c r="E326" t="s">
        <v>778</v>
      </c>
      <c r="F326" t="s">
        <v>20</v>
      </c>
      <c r="G326" t="s">
        <v>21</v>
      </c>
      <c r="H326" s="1">
        <v>11973</v>
      </c>
      <c r="I326" s="1">
        <v>16486</v>
      </c>
      <c r="J326" s="1">
        <v>20598</v>
      </c>
      <c r="K326" s="1">
        <f t="shared" si="17"/>
        <v>997.75</v>
      </c>
      <c r="L326" s="1">
        <f t="shared" si="17"/>
        <v>1373.8333333333333</v>
      </c>
      <c r="M326" s="1">
        <f t="shared" si="17"/>
        <v>1716.5</v>
      </c>
      <c r="N326" t="str">
        <f t="shared" si="15"/>
        <v>NOUVELLE-AQUITAINE|33 - Gironde|CA Bassin d'Arcachon Sud (COBAS)</v>
      </c>
      <c r="O326" s="1" t="str">
        <f t="shared" si="16"/>
        <v>Province</v>
      </c>
    </row>
    <row r="327" spans="1:15" x14ac:dyDescent="0.25">
      <c r="A327" s="1" t="s">
        <v>738</v>
      </c>
      <c r="B327" t="s">
        <v>773</v>
      </c>
      <c r="C327" t="s">
        <v>774</v>
      </c>
      <c r="D327" t="s">
        <v>779</v>
      </c>
      <c r="E327" t="s">
        <v>780</v>
      </c>
      <c r="F327" t="s">
        <v>20</v>
      </c>
      <c r="G327" t="s">
        <v>21</v>
      </c>
      <c r="H327" s="1">
        <v>12099</v>
      </c>
      <c r="I327" s="1">
        <v>16272</v>
      </c>
      <c r="J327" s="1">
        <v>20508</v>
      </c>
      <c r="K327" s="1">
        <f t="shared" si="17"/>
        <v>1008.25</v>
      </c>
      <c r="L327" s="1">
        <f t="shared" si="17"/>
        <v>1356</v>
      </c>
      <c r="M327" s="1">
        <f t="shared" si="17"/>
        <v>1709</v>
      </c>
      <c r="N327" t="str">
        <f t="shared" si="15"/>
        <v>NOUVELLE-AQUITAINE|33 - Gironde|CA du Bassin d'Arcachon Nord (COBAN)</v>
      </c>
      <c r="O327" s="1" t="str">
        <f t="shared" si="16"/>
        <v>Province</v>
      </c>
    </row>
    <row r="328" spans="1:15" x14ac:dyDescent="0.25">
      <c r="A328" s="1" t="s">
        <v>738</v>
      </c>
      <c r="B328" t="s">
        <v>773</v>
      </c>
      <c r="C328" t="s">
        <v>774</v>
      </c>
      <c r="D328" t="s">
        <v>781</v>
      </c>
      <c r="E328" t="s">
        <v>782</v>
      </c>
      <c r="F328" t="s">
        <v>20</v>
      </c>
      <c r="G328" t="s">
        <v>21</v>
      </c>
      <c r="H328" s="1">
        <v>9198</v>
      </c>
      <c r="I328" s="1">
        <v>12816</v>
      </c>
      <c r="J328" s="1">
        <v>17844</v>
      </c>
      <c r="K328" s="1">
        <f t="shared" si="17"/>
        <v>766.5</v>
      </c>
      <c r="L328" s="1">
        <f t="shared" si="17"/>
        <v>1068</v>
      </c>
      <c r="M328" s="1">
        <f t="shared" si="17"/>
        <v>1487</v>
      </c>
      <c r="N328" t="str">
        <f t="shared" si="15"/>
        <v>NOUVELLE-AQUITAINE|33 - Gironde|CA du Libournais</v>
      </c>
      <c r="O328" s="1" t="str">
        <f t="shared" si="16"/>
        <v>Province</v>
      </c>
    </row>
    <row r="329" spans="1:15" x14ac:dyDescent="0.25">
      <c r="A329" s="1" t="s">
        <v>738</v>
      </c>
      <c r="B329" t="s">
        <v>773</v>
      </c>
      <c r="C329" t="s">
        <v>774</v>
      </c>
      <c r="D329" t="s">
        <v>783</v>
      </c>
      <c r="E329" t="s">
        <v>784</v>
      </c>
      <c r="F329" t="s">
        <v>20</v>
      </c>
      <c r="G329" t="s">
        <v>21</v>
      </c>
      <c r="H329" s="1">
        <v>12192</v>
      </c>
      <c r="I329" s="1">
        <v>17196</v>
      </c>
      <c r="J329" s="1">
        <v>21600</v>
      </c>
      <c r="K329" s="1">
        <f t="shared" si="17"/>
        <v>1016</v>
      </c>
      <c r="L329" s="1">
        <f t="shared" si="17"/>
        <v>1433</v>
      </c>
      <c r="M329" s="1">
        <f t="shared" si="17"/>
        <v>1800</v>
      </c>
      <c r="N329" t="str">
        <f t="shared" si="15"/>
        <v>NOUVELLE-AQUITAINE|33 - Gironde|CC de Montesquieu</v>
      </c>
      <c r="O329" s="1" t="str">
        <f t="shared" si="16"/>
        <v>Province</v>
      </c>
    </row>
    <row r="330" spans="1:15" x14ac:dyDescent="0.25">
      <c r="A330" s="1" t="s">
        <v>738</v>
      </c>
      <c r="B330" t="s">
        <v>773</v>
      </c>
      <c r="C330" t="s">
        <v>774</v>
      </c>
      <c r="D330" t="s">
        <v>785</v>
      </c>
      <c r="E330" t="s">
        <v>786</v>
      </c>
      <c r="F330" t="s">
        <v>20</v>
      </c>
      <c r="G330" t="s">
        <v>21</v>
      </c>
      <c r="H330" s="1">
        <v>10629</v>
      </c>
      <c r="I330" s="1">
        <v>14106</v>
      </c>
      <c r="J330" s="1">
        <v>18702</v>
      </c>
      <c r="K330" s="1">
        <f t="shared" si="17"/>
        <v>885.75</v>
      </c>
      <c r="L330" s="1">
        <f t="shared" si="17"/>
        <v>1175.5</v>
      </c>
      <c r="M330" s="1">
        <f t="shared" si="17"/>
        <v>1558.5</v>
      </c>
      <c r="N330" t="str">
        <f t="shared" si="15"/>
        <v>NOUVELLE-AQUITAINE|33 - Gironde|CC du Grand Cubzaguais</v>
      </c>
      <c r="O330" s="1" t="str">
        <f t="shared" si="16"/>
        <v>Province</v>
      </c>
    </row>
    <row r="331" spans="1:15" x14ac:dyDescent="0.25">
      <c r="A331" s="1" t="s">
        <v>738</v>
      </c>
      <c r="B331" t="s">
        <v>773</v>
      </c>
      <c r="C331" t="s">
        <v>774</v>
      </c>
      <c r="D331" t="s">
        <v>771</v>
      </c>
      <c r="E331" t="s">
        <v>772</v>
      </c>
      <c r="F331" t="s">
        <v>20</v>
      </c>
      <c r="G331" t="s">
        <v>21</v>
      </c>
      <c r="H331" s="1">
        <v>7708</v>
      </c>
      <c r="I331" s="1">
        <v>11652</v>
      </c>
      <c r="J331" s="1">
        <v>16115</v>
      </c>
      <c r="K331" s="1">
        <f t="shared" si="17"/>
        <v>642.33333333333337</v>
      </c>
      <c r="L331" s="1">
        <f t="shared" si="17"/>
        <v>971</v>
      </c>
      <c r="M331" s="1">
        <f t="shared" si="17"/>
        <v>1342.9166666666667</v>
      </c>
      <c r="N331" t="str">
        <f t="shared" si="15"/>
        <v>NOUVELLE-AQUITAINE|33 - Gironde|CC du Pays Foyen</v>
      </c>
      <c r="O331" s="1" t="str">
        <f t="shared" si="16"/>
        <v>Province</v>
      </c>
    </row>
    <row r="332" spans="1:15" x14ac:dyDescent="0.25">
      <c r="A332" s="1" t="s">
        <v>738</v>
      </c>
      <c r="B332" t="s">
        <v>773</v>
      </c>
      <c r="C332" t="s">
        <v>774</v>
      </c>
      <c r="D332" t="s">
        <v>787</v>
      </c>
      <c r="E332" t="s">
        <v>788</v>
      </c>
      <c r="F332" t="s">
        <v>20</v>
      </c>
      <c r="G332" t="s">
        <v>21</v>
      </c>
      <c r="H332" s="1">
        <v>13556</v>
      </c>
      <c r="I332" s="1">
        <v>18400</v>
      </c>
      <c r="J332" s="1">
        <v>22446</v>
      </c>
      <c r="K332" s="1">
        <f t="shared" si="17"/>
        <v>1129.6666666666667</v>
      </c>
      <c r="L332" s="1">
        <f t="shared" si="17"/>
        <v>1533.3333333333333</v>
      </c>
      <c r="M332" s="1">
        <f t="shared" si="17"/>
        <v>1870.5</v>
      </c>
      <c r="N332" t="str">
        <f t="shared" si="15"/>
        <v>NOUVELLE-AQUITAINE|33 - Gironde|CC Jalle-Eau-Bourde</v>
      </c>
      <c r="O332" s="1" t="str">
        <f t="shared" si="16"/>
        <v>Province</v>
      </c>
    </row>
    <row r="333" spans="1:15" x14ac:dyDescent="0.25">
      <c r="A333" s="1" t="s">
        <v>738</v>
      </c>
      <c r="B333" t="s">
        <v>789</v>
      </c>
      <c r="C333" t="s">
        <v>790</v>
      </c>
      <c r="D333" t="s">
        <v>791</v>
      </c>
      <c r="E333" t="s">
        <v>792</v>
      </c>
      <c r="F333" t="s">
        <v>20</v>
      </c>
      <c r="G333" t="s">
        <v>21</v>
      </c>
      <c r="H333" s="1">
        <v>9983</v>
      </c>
      <c r="I333" s="1">
        <v>13776</v>
      </c>
      <c r="J333" s="1">
        <v>18648</v>
      </c>
      <c r="K333" s="1">
        <f t="shared" si="17"/>
        <v>831.91666666666663</v>
      </c>
      <c r="L333" s="1">
        <f t="shared" si="17"/>
        <v>1148</v>
      </c>
      <c r="M333" s="1">
        <f t="shared" si="17"/>
        <v>1554</v>
      </c>
      <c r="N333" t="str">
        <f t="shared" si="15"/>
        <v>NOUVELLE-AQUITAINE|40 - Landes|CA du Grand Dax</v>
      </c>
      <c r="O333" s="1" t="str">
        <f t="shared" si="16"/>
        <v>Province</v>
      </c>
    </row>
    <row r="334" spans="1:15" x14ac:dyDescent="0.25">
      <c r="A334" s="1" t="s">
        <v>738</v>
      </c>
      <c r="B334" t="s">
        <v>789</v>
      </c>
      <c r="C334" t="s">
        <v>790</v>
      </c>
      <c r="D334" t="s">
        <v>793</v>
      </c>
      <c r="E334" t="s">
        <v>794</v>
      </c>
      <c r="F334" t="s">
        <v>20</v>
      </c>
      <c r="G334" t="s">
        <v>21</v>
      </c>
      <c r="H334" s="1">
        <v>9600</v>
      </c>
      <c r="I334" s="1">
        <v>13200</v>
      </c>
      <c r="J334" s="1">
        <v>18000</v>
      </c>
      <c r="K334" s="1">
        <f t="shared" si="17"/>
        <v>800</v>
      </c>
      <c r="L334" s="1">
        <f t="shared" si="17"/>
        <v>1100</v>
      </c>
      <c r="M334" s="1">
        <f t="shared" si="17"/>
        <v>1500</v>
      </c>
      <c r="N334" t="str">
        <f t="shared" si="15"/>
        <v>NOUVELLE-AQUITAINE|40 - Landes|CA Mont de Marsan Agglomération</v>
      </c>
      <c r="O334" s="1" t="str">
        <f t="shared" si="16"/>
        <v>Province</v>
      </c>
    </row>
    <row r="335" spans="1:15" x14ac:dyDescent="0.25">
      <c r="A335" s="1" t="s">
        <v>738</v>
      </c>
      <c r="B335" t="s">
        <v>789</v>
      </c>
      <c r="C335" t="s">
        <v>790</v>
      </c>
      <c r="D335" t="s">
        <v>795</v>
      </c>
      <c r="E335" t="s">
        <v>796</v>
      </c>
      <c r="F335" t="s">
        <v>20</v>
      </c>
      <c r="G335" t="s">
        <v>21</v>
      </c>
      <c r="H335" s="1">
        <v>10836</v>
      </c>
      <c r="I335" s="1">
        <v>14648</v>
      </c>
      <c r="J335" s="1">
        <v>19392</v>
      </c>
      <c r="K335" s="1">
        <f t="shared" si="17"/>
        <v>903</v>
      </c>
      <c r="L335" s="1">
        <f t="shared" si="17"/>
        <v>1220.6666666666667</v>
      </c>
      <c r="M335" s="1">
        <f t="shared" si="17"/>
        <v>1616</v>
      </c>
      <c r="N335" t="str">
        <f t="shared" si="15"/>
        <v>NOUVELLE-AQUITAINE|40 - Landes|CC des Grands Lacs</v>
      </c>
      <c r="O335" s="1" t="str">
        <f t="shared" si="16"/>
        <v>Province</v>
      </c>
    </row>
    <row r="336" spans="1:15" x14ac:dyDescent="0.25">
      <c r="A336" s="1" t="s">
        <v>738</v>
      </c>
      <c r="B336" t="s">
        <v>797</v>
      </c>
      <c r="C336" t="s">
        <v>798</v>
      </c>
      <c r="D336" t="s">
        <v>799</v>
      </c>
      <c r="E336" t="s">
        <v>800</v>
      </c>
      <c r="F336" t="s">
        <v>20</v>
      </c>
      <c r="G336" t="s">
        <v>21</v>
      </c>
      <c r="H336" s="1">
        <v>9074</v>
      </c>
      <c r="I336" s="1">
        <v>12949</v>
      </c>
      <c r="J336" s="1">
        <v>18000</v>
      </c>
      <c r="K336" s="1">
        <f t="shared" si="17"/>
        <v>756.16666666666663</v>
      </c>
      <c r="L336" s="1">
        <f t="shared" si="17"/>
        <v>1079.0833333333333</v>
      </c>
      <c r="M336" s="1">
        <f t="shared" si="17"/>
        <v>1500</v>
      </c>
      <c r="N336" t="str">
        <f t="shared" si="15"/>
        <v>NOUVELLE-AQUITAINE|47 - Lot-et-Garonne|CA Agglomération d'Agen</v>
      </c>
      <c r="O336" s="1" t="str">
        <f t="shared" si="16"/>
        <v>Province</v>
      </c>
    </row>
    <row r="337" spans="1:15" x14ac:dyDescent="0.25">
      <c r="A337" s="1" t="s">
        <v>738</v>
      </c>
      <c r="B337" t="s">
        <v>797</v>
      </c>
      <c r="C337" t="s">
        <v>798</v>
      </c>
      <c r="D337" t="s">
        <v>801</v>
      </c>
      <c r="E337" t="s">
        <v>802</v>
      </c>
      <c r="F337" t="s">
        <v>20</v>
      </c>
      <c r="G337" t="s">
        <v>21</v>
      </c>
      <c r="H337" s="1">
        <v>8102</v>
      </c>
      <c r="I337" s="1">
        <v>11746</v>
      </c>
      <c r="J337" s="1">
        <v>15964</v>
      </c>
      <c r="K337" s="1">
        <f t="shared" si="17"/>
        <v>675.16666666666663</v>
      </c>
      <c r="L337" s="1">
        <f t="shared" si="17"/>
        <v>978.83333333333337</v>
      </c>
      <c r="M337" s="1">
        <f t="shared" si="17"/>
        <v>1330.3333333333333</v>
      </c>
      <c r="N337" t="str">
        <f t="shared" si="15"/>
        <v>NOUVELLE-AQUITAINE|47 - Lot-et-Garonne|CA du Grand Villeneuvois</v>
      </c>
      <c r="O337" s="1" t="str">
        <f t="shared" si="16"/>
        <v>Province</v>
      </c>
    </row>
    <row r="338" spans="1:15" x14ac:dyDescent="0.25">
      <c r="A338" s="1" t="s">
        <v>738</v>
      </c>
      <c r="B338" t="s">
        <v>797</v>
      </c>
      <c r="C338" t="s">
        <v>798</v>
      </c>
      <c r="D338" t="s">
        <v>803</v>
      </c>
      <c r="E338" t="s">
        <v>804</v>
      </c>
      <c r="F338" t="s">
        <v>20</v>
      </c>
      <c r="G338" t="s">
        <v>21</v>
      </c>
      <c r="H338" s="1">
        <v>7700</v>
      </c>
      <c r="I338" s="1">
        <v>12089</v>
      </c>
      <c r="J338" s="1">
        <v>16602</v>
      </c>
      <c r="K338" s="1">
        <f t="shared" si="17"/>
        <v>641.66666666666663</v>
      </c>
      <c r="L338" s="1">
        <f t="shared" si="17"/>
        <v>1007.4166666666666</v>
      </c>
      <c r="M338" s="1">
        <f t="shared" si="17"/>
        <v>1383.5</v>
      </c>
      <c r="N338" t="str">
        <f t="shared" si="15"/>
        <v>NOUVELLE-AQUITAINE|47 - Lot-et-Garonne|CA Val de Garonne Agglomération</v>
      </c>
      <c r="O338" s="1" t="str">
        <f t="shared" si="16"/>
        <v>Province</v>
      </c>
    </row>
    <row r="339" spans="1:15" x14ac:dyDescent="0.25">
      <c r="A339" s="1" t="s">
        <v>738</v>
      </c>
      <c r="B339" t="s">
        <v>805</v>
      </c>
      <c r="C339" t="s">
        <v>806</v>
      </c>
      <c r="D339" t="s">
        <v>807</v>
      </c>
      <c r="E339" t="s">
        <v>808</v>
      </c>
      <c r="F339" t="s">
        <v>20</v>
      </c>
      <c r="G339" t="s">
        <v>21</v>
      </c>
      <c r="H339" s="1">
        <v>11585</v>
      </c>
      <c r="I339" s="1">
        <v>15612</v>
      </c>
      <c r="J339" s="1">
        <v>20400</v>
      </c>
      <c r="K339" s="1">
        <f t="shared" si="17"/>
        <v>965.41666666666663</v>
      </c>
      <c r="L339" s="1">
        <f t="shared" si="17"/>
        <v>1301</v>
      </c>
      <c r="M339" s="1">
        <f t="shared" si="17"/>
        <v>1700</v>
      </c>
      <c r="N339" t="str">
        <f t="shared" si="15"/>
        <v>NOUVELLE-AQUITAINE|64 - Pyrénées-Atlantiques|CA du Pays Basque</v>
      </c>
      <c r="O339" s="1" t="str">
        <f t="shared" si="16"/>
        <v>Province</v>
      </c>
    </row>
    <row r="340" spans="1:15" x14ac:dyDescent="0.25">
      <c r="A340" s="1" t="s">
        <v>738</v>
      </c>
      <c r="B340" t="s">
        <v>805</v>
      </c>
      <c r="C340" t="s">
        <v>806</v>
      </c>
      <c r="D340" t="s">
        <v>809</v>
      </c>
      <c r="E340" t="s">
        <v>810</v>
      </c>
      <c r="F340" t="s">
        <v>20</v>
      </c>
      <c r="G340" t="s">
        <v>21</v>
      </c>
      <c r="H340" s="1">
        <v>9480</v>
      </c>
      <c r="I340" s="1">
        <v>13440</v>
      </c>
      <c r="J340" s="1">
        <v>18334</v>
      </c>
      <c r="K340" s="1">
        <f t="shared" si="17"/>
        <v>790</v>
      </c>
      <c r="L340" s="1">
        <f t="shared" si="17"/>
        <v>1120</v>
      </c>
      <c r="M340" s="1">
        <f t="shared" si="17"/>
        <v>1527.8333333333333</v>
      </c>
      <c r="N340" t="str">
        <f t="shared" si="15"/>
        <v>NOUVELLE-AQUITAINE|64 - Pyrénées-Atlantiques|CA Pau Béarn Pyrénées</v>
      </c>
      <c r="O340" s="1" t="str">
        <f t="shared" si="16"/>
        <v>Province</v>
      </c>
    </row>
    <row r="341" spans="1:15" x14ac:dyDescent="0.25">
      <c r="A341" s="1" t="s">
        <v>738</v>
      </c>
      <c r="B341" t="s">
        <v>805</v>
      </c>
      <c r="C341" t="s">
        <v>806</v>
      </c>
      <c r="D341" t="s">
        <v>811</v>
      </c>
      <c r="E341" t="s">
        <v>812</v>
      </c>
      <c r="F341" t="s">
        <v>20</v>
      </c>
      <c r="G341" t="s">
        <v>21</v>
      </c>
      <c r="H341" s="1">
        <v>9384</v>
      </c>
      <c r="I341" s="1">
        <v>12900</v>
      </c>
      <c r="J341" s="1">
        <v>17656</v>
      </c>
      <c r="K341" s="1">
        <f t="shared" si="17"/>
        <v>782</v>
      </c>
      <c r="L341" s="1">
        <f t="shared" si="17"/>
        <v>1075</v>
      </c>
      <c r="M341" s="1">
        <f t="shared" si="17"/>
        <v>1471.3333333333333</v>
      </c>
      <c r="N341" t="str">
        <f t="shared" si="15"/>
        <v>NOUVELLE-AQUITAINE|64 - Pyrénées-Atlantiques|CC de Lacq-Orthez</v>
      </c>
      <c r="O341" s="1" t="str">
        <f t="shared" si="16"/>
        <v>Province</v>
      </c>
    </row>
    <row r="342" spans="1:15" x14ac:dyDescent="0.25">
      <c r="A342" s="1" t="s">
        <v>738</v>
      </c>
      <c r="B342" t="s">
        <v>805</v>
      </c>
      <c r="C342" t="s">
        <v>806</v>
      </c>
      <c r="D342" t="s">
        <v>813</v>
      </c>
      <c r="E342" t="s">
        <v>814</v>
      </c>
      <c r="F342" t="s">
        <v>20</v>
      </c>
      <c r="G342" t="s">
        <v>21</v>
      </c>
      <c r="H342" s="1">
        <v>8034</v>
      </c>
      <c r="I342" s="1">
        <v>11872</v>
      </c>
      <c r="J342" s="1">
        <v>15582</v>
      </c>
      <c r="K342" s="1">
        <f t="shared" si="17"/>
        <v>669.5</v>
      </c>
      <c r="L342" s="1">
        <f t="shared" si="17"/>
        <v>989.33333333333337</v>
      </c>
      <c r="M342" s="1">
        <f t="shared" si="17"/>
        <v>1298.5</v>
      </c>
      <c r="N342" t="str">
        <f t="shared" si="15"/>
        <v>NOUVELLE-AQUITAINE|64 - Pyrénées-Atlantiques|CC du Haut Béarn</v>
      </c>
      <c r="O342" s="1" t="str">
        <f t="shared" si="16"/>
        <v>Province</v>
      </c>
    </row>
    <row r="343" spans="1:15" x14ac:dyDescent="0.25">
      <c r="A343" s="1" t="s">
        <v>738</v>
      </c>
      <c r="B343" t="s">
        <v>815</v>
      </c>
      <c r="C343" t="s">
        <v>816</v>
      </c>
      <c r="D343" t="s">
        <v>817</v>
      </c>
      <c r="E343" t="s">
        <v>818</v>
      </c>
      <c r="F343" t="s">
        <v>20</v>
      </c>
      <c r="G343" t="s">
        <v>21</v>
      </c>
      <c r="H343" s="1">
        <v>10872</v>
      </c>
      <c r="I343" s="1">
        <v>14107</v>
      </c>
      <c r="J343" s="1">
        <v>18768</v>
      </c>
      <c r="K343" s="1">
        <f t="shared" si="17"/>
        <v>906</v>
      </c>
      <c r="L343" s="1">
        <f t="shared" si="17"/>
        <v>1175.5833333333333</v>
      </c>
      <c r="M343" s="1">
        <f t="shared" si="17"/>
        <v>1564</v>
      </c>
      <c r="N343" t="str">
        <f t="shared" si="15"/>
        <v>NOUVELLE-AQUITAINE|79 - Deux-Sèvres|CA du Bocage Bressuirais</v>
      </c>
      <c r="O343" s="1" t="str">
        <f t="shared" si="16"/>
        <v>Province</v>
      </c>
    </row>
    <row r="344" spans="1:15" x14ac:dyDescent="0.25">
      <c r="A344" s="1" t="s">
        <v>738</v>
      </c>
      <c r="B344" t="s">
        <v>815</v>
      </c>
      <c r="C344" t="s">
        <v>816</v>
      </c>
      <c r="D344" t="s">
        <v>819</v>
      </c>
      <c r="E344" t="s">
        <v>820</v>
      </c>
      <c r="F344" t="s">
        <v>20</v>
      </c>
      <c r="G344" t="s">
        <v>21</v>
      </c>
      <c r="H344" s="1">
        <v>9939</v>
      </c>
      <c r="I344" s="1">
        <v>13712</v>
      </c>
      <c r="J344" s="1">
        <v>18748</v>
      </c>
      <c r="K344" s="1">
        <f t="shared" si="17"/>
        <v>828.25</v>
      </c>
      <c r="L344" s="1">
        <f t="shared" si="17"/>
        <v>1142.6666666666667</v>
      </c>
      <c r="M344" s="1">
        <f t="shared" si="17"/>
        <v>1562.3333333333333</v>
      </c>
      <c r="N344" t="str">
        <f t="shared" si="15"/>
        <v>NOUVELLE-AQUITAINE|79 - Deux-Sèvres|CA du Niortais</v>
      </c>
      <c r="O344" s="1" t="str">
        <f t="shared" si="16"/>
        <v>Province</v>
      </c>
    </row>
    <row r="345" spans="1:15" x14ac:dyDescent="0.25">
      <c r="A345" s="1" t="s">
        <v>738</v>
      </c>
      <c r="B345" t="s">
        <v>815</v>
      </c>
      <c r="C345" t="s">
        <v>816</v>
      </c>
      <c r="D345" t="s">
        <v>821</v>
      </c>
      <c r="E345" t="s">
        <v>822</v>
      </c>
      <c r="F345" t="s">
        <v>20</v>
      </c>
      <c r="G345" t="s">
        <v>21</v>
      </c>
      <c r="H345" s="1">
        <v>9489</v>
      </c>
      <c r="I345" s="1">
        <v>12863</v>
      </c>
      <c r="J345" s="1">
        <v>17583</v>
      </c>
      <c r="K345" s="1">
        <f t="shared" si="17"/>
        <v>790.75</v>
      </c>
      <c r="L345" s="1">
        <f t="shared" si="17"/>
        <v>1071.9166666666667</v>
      </c>
      <c r="M345" s="1">
        <f t="shared" si="17"/>
        <v>1465.25</v>
      </c>
      <c r="N345" t="str">
        <f t="shared" si="15"/>
        <v>NOUVELLE-AQUITAINE|79 - Deux-Sèvres|CC de Parthenay-Gâtine</v>
      </c>
      <c r="O345" s="1" t="str">
        <f t="shared" si="16"/>
        <v>Province</v>
      </c>
    </row>
    <row r="346" spans="1:15" x14ac:dyDescent="0.25">
      <c r="A346" s="1" t="s">
        <v>738</v>
      </c>
      <c r="B346" t="s">
        <v>815</v>
      </c>
      <c r="C346" t="s">
        <v>816</v>
      </c>
      <c r="D346" t="s">
        <v>823</v>
      </c>
      <c r="E346" t="s">
        <v>824</v>
      </c>
      <c r="F346" t="s">
        <v>20</v>
      </c>
      <c r="G346" t="s">
        <v>21</v>
      </c>
      <c r="H346" s="1">
        <v>8484</v>
      </c>
      <c r="I346" s="1">
        <v>12192</v>
      </c>
      <c r="J346" s="1">
        <v>16154</v>
      </c>
      <c r="K346" s="1">
        <f t="shared" si="17"/>
        <v>707</v>
      </c>
      <c r="L346" s="1">
        <f t="shared" si="17"/>
        <v>1016</v>
      </c>
      <c r="M346" s="1">
        <f t="shared" si="17"/>
        <v>1346.1666666666667</v>
      </c>
      <c r="N346" t="str">
        <f t="shared" si="15"/>
        <v>NOUVELLE-AQUITAINE|79 - Deux-Sèvres|CC du Thouarsais</v>
      </c>
      <c r="O346" s="1" t="str">
        <f t="shared" si="16"/>
        <v>Province</v>
      </c>
    </row>
    <row r="347" spans="1:15" x14ac:dyDescent="0.25">
      <c r="A347" s="1" t="s">
        <v>738</v>
      </c>
      <c r="B347" t="s">
        <v>825</v>
      </c>
      <c r="C347" t="s">
        <v>826</v>
      </c>
      <c r="D347" t="s">
        <v>827</v>
      </c>
      <c r="E347" t="s">
        <v>828</v>
      </c>
      <c r="F347" t="s">
        <v>20</v>
      </c>
      <c r="G347" t="s">
        <v>21</v>
      </c>
      <c r="H347" s="1">
        <v>7974</v>
      </c>
      <c r="I347" s="1">
        <v>11856</v>
      </c>
      <c r="J347" s="1">
        <v>16569</v>
      </c>
      <c r="K347" s="1">
        <f t="shared" si="17"/>
        <v>664.5</v>
      </c>
      <c r="L347" s="1">
        <f t="shared" si="17"/>
        <v>988</v>
      </c>
      <c r="M347" s="1">
        <f t="shared" si="17"/>
        <v>1380.75</v>
      </c>
      <c r="N347" t="str">
        <f t="shared" si="15"/>
        <v>NOUVELLE-AQUITAINE|86 - Vienne|CA Grand Châtellerault</v>
      </c>
      <c r="O347" s="1" t="str">
        <f t="shared" si="16"/>
        <v>Province</v>
      </c>
    </row>
    <row r="348" spans="1:15" x14ac:dyDescent="0.25">
      <c r="A348" s="1" t="s">
        <v>738</v>
      </c>
      <c r="B348" t="s">
        <v>825</v>
      </c>
      <c r="C348" t="s">
        <v>826</v>
      </c>
      <c r="D348" t="s">
        <v>829</v>
      </c>
      <c r="E348" t="s">
        <v>830</v>
      </c>
      <c r="F348" t="s">
        <v>20</v>
      </c>
      <c r="G348" t="s">
        <v>21</v>
      </c>
      <c r="H348" s="1">
        <v>8592</v>
      </c>
      <c r="I348" s="1">
        <v>12517</v>
      </c>
      <c r="J348" s="1">
        <v>17744</v>
      </c>
      <c r="K348" s="1">
        <f t="shared" si="17"/>
        <v>716</v>
      </c>
      <c r="L348" s="1">
        <f t="shared" si="17"/>
        <v>1043.0833333333333</v>
      </c>
      <c r="M348" s="1">
        <f t="shared" si="17"/>
        <v>1478.6666666666667</v>
      </c>
      <c r="N348" t="str">
        <f t="shared" si="15"/>
        <v>NOUVELLE-AQUITAINE|86 - Vienne|CU du Grand Poitiers</v>
      </c>
      <c r="O348" s="1" t="str">
        <f t="shared" si="16"/>
        <v>Province</v>
      </c>
    </row>
    <row r="349" spans="1:15" x14ac:dyDescent="0.25">
      <c r="A349" s="1" t="s">
        <v>738</v>
      </c>
      <c r="B349" t="s">
        <v>831</v>
      </c>
      <c r="C349" t="s">
        <v>832</v>
      </c>
      <c r="D349" t="s">
        <v>833</v>
      </c>
      <c r="E349" t="s">
        <v>834</v>
      </c>
      <c r="F349" t="s">
        <v>20</v>
      </c>
      <c r="G349" t="s">
        <v>21</v>
      </c>
      <c r="H349" s="1">
        <v>9527</v>
      </c>
      <c r="I349" s="1">
        <v>12960</v>
      </c>
      <c r="J349" s="1">
        <v>18000</v>
      </c>
      <c r="K349" s="1">
        <f t="shared" si="17"/>
        <v>793.91666666666663</v>
      </c>
      <c r="L349" s="1">
        <f t="shared" si="17"/>
        <v>1080</v>
      </c>
      <c r="M349" s="1">
        <f t="shared" si="17"/>
        <v>1500</v>
      </c>
      <c r="N349" t="str">
        <f t="shared" si="15"/>
        <v>NOUVELLE-AQUITAINE|87 - Haute-Vienne|CU Limoges Métropole</v>
      </c>
      <c r="O349" s="1" t="str">
        <f t="shared" si="16"/>
        <v>Province</v>
      </c>
    </row>
    <row r="350" spans="1:15" x14ac:dyDescent="0.25">
      <c r="A350" s="1" t="s">
        <v>835</v>
      </c>
      <c r="B350" t="s">
        <v>836</v>
      </c>
      <c r="C350" t="s">
        <v>837</v>
      </c>
      <c r="D350" t="s">
        <v>838</v>
      </c>
      <c r="E350" t="s">
        <v>839</v>
      </c>
      <c r="F350" t="s">
        <v>20</v>
      </c>
      <c r="G350" t="s">
        <v>21</v>
      </c>
      <c r="H350" s="1">
        <v>7792</v>
      </c>
      <c r="I350" s="1">
        <v>12138</v>
      </c>
      <c r="J350" s="1">
        <v>15901</v>
      </c>
      <c r="K350" s="1">
        <f t="shared" si="17"/>
        <v>649.33333333333337</v>
      </c>
      <c r="L350" s="1">
        <f t="shared" si="17"/>
        <v>1011.5</v>
      </c>
      <c r="M350" s="1">
        <f t="shared" si="17"/>
        <v>1325.0833333333333</v>
      </c>
      <c r="N350" t="str">
        <f t="shared" si="15"/>
        <v>OCCITANIE|09 - Ariège|CA L'Agglo Foix-Varilhes</v>
      </c>
      <c r="O350" s="1" t="str">
        <f t="shared" si="16"/>
        <v>Province</v>
      </c>
    </row>
    <row r="351" spans="1:15" x14ac:dyDescent="0.25">
      <c r="A351" s="1" t="s">
        <v>835</v>
      </c>
      <c r="B351" t="s">
        <v>836</v>
      </c>
      <c r="C351" t="s">
        <v>837</v>
      </c>
      <c r="D351" t="s">
        <v>840</v>
      </c>
      <c r="E351" t="s">
        <v>841</v>
      </c>
      <c r="F351" t="s">
        <v>20</v>
      </c>
      <c r="G351" t="s">
        <v>21</v>
      </c>
      <c r="H351" s="1">
        <v>6714</v>
      </c>
      <c r="I351" s="1">
        <v>10387</v>
      </c>
      <c r="J351" s="1">
        <v>14358</v>
      </c>
      <c r="K351" s="1">
        <f t="shared" si="17"/>
        <v>559.5</v>
      </c>
      <c r="L351" s="1">
        <f t="shared" si="17"/>
        <v>865.58333333333337</v>
      </c>
      <c r="M351" s="1">
        <f t="shared" si="17"/>
        <v>1196.5</v>
      </c>
      <c r="N351" t="str">
        <f t="shared" si="15"/>
        <v>OCCITANIE|09 - Ariège|CC Couserans-Pyrénées</v>
      </c>
      <c r="O351" s="1" t="str">
        <f t="shared" si="16"/>
        <v>Province</v>
      </c>
    </row>
    <row r="352" spans="1:15" x14ac:dyDescent="0.25">
      <c r="A352" s="1" t="s">
        <v>835</v>
      </c>
      <c r="B352" t="s">
        <v>836</v>
      </c>
      <c r="C352" t="s">
        <v>837</v>
      </c>
      <c r="D352" t="s">
        <v>842</v>
      </c>
      <c r="E352" t="s">
        <v>843</v>
      </c>
      <c r="F352" t="s">
        <v>20</v>
      </c>
      <c r="G352" t="s">
        <v>21</v>
      </c>
      <c r="H352" s="1">
        <v>7547</v>
      </c>
      <c r="I352" s="1">
        <v>11765</v>
      </c>
      <c r="J352" s="1">
        <v>16166</v>
      </c>
      <c r="K352" s="1">
        <f t="shared" si="17"/>
        <v>628.91666666666663</v>
      </c>
      <c r="L352" s="1">
        <f t="shared" si="17"/>
        <v>980.41666666666663</v>
      </c>
      <c r="M352" s="1">
        <f t="shared" si="17"/>
        <v>1347.1666666666667</v>
      </c>
      <c r="N352" t="str">
        <f t="shared" si="15"/>
        <v>OCCITANIE|09 - Ariège|CC des Portes d'Ariège Pyrénées</v>
      </c>
      <c r="O352" s="1" t="str">
        <f t="shared" si="16"/>
        <v>Province</v>
      </c>
    </row>
    <row r="353" spans="1:15" x14ac:dyDescent="0.25">
      <c r="A353" s="1" t="s">
        <v>835</v>
      </c>
      <c r="B353" t="s">
        <v>844</v>
      </c>
      <c r="C353" t="s">
        <v>845</v>
      </c>
      <c r="D353" t="s">
        <v>846</v>
      </c>
      <c r="E353" t="s">
        <v>847</v>
      </c>
      <c r="F353" t="s">
        <v>20</v>
      </c>
      <c r="G353" t="s">
        <v>21</v>
      </c>
      <c r="H353" s="1">
        <v>8213</v>
      </c>
      <c r="I353" s="1">
        <v>12192</v>
      </c>
      <c r="J353" s="1">
        <v>16776</v>
      </c>
      <c r="K353" s="1">
        <f t="shared" si="17"/>
        <v>684.41666666666663</v>
      </c>
      <c r="L353" s="1">
        <f t="shared" si="17"/>
        <v>1016</v>
      </c>
      <c r="M353" s="1">
        <f t="shared" si="17"/>
        <v>1398</v>
      </c>
      <c r="N353" t="str">
        <f t="shared" si="15"/>
        <v>OCCITANIE|11 - Aude|CA Carcassonne Agglo</v>
      </c>
      <c r="O353" s="1" t="str">
        <f t="shared" si="16"/>
        <v>Province</v>
      </c>
    </row>
    <row r="354" spans="1:15" x14ac:dyDescent="0.25">
      <c r="A354" s="1" t="s">
        <v>835</v>
      </c>
      <c r="B354" t="s">
        <v>844</v>
      </c>
      <c r="C354" t="s">
        <v>845</v>
      </c>
      <c r="D354" t="s">
        <v>848</v>
      </c>
      <c r="E354" t="s">
        <v>849</v>
      </c>
      <c r="F354" t="s">
        <v>20</v>
      </c>
      <c r="G354" t="s">
        <v>21</v>
      </c>
      <c r="H354" s="1">
        <v>8265</v>
      </c>
      <c r="I354" s="1">
        <v>12192</v>
      </c>
      <c r="J354" s="1">
        <v>16708</v>
      </c>
      <c r="K354" s="1">
        <f t="shared" si="17"/>
        <v>688.75</v>
      </c>
      <c r="L354" s="1">
        <f t="shared" si="17"/>
        <v>1016</v>
      </c>
      <c r="M354" s="1">
        <f t="shared" si="17"/>
        <v>1392.3333333333333</v>
      </c>
      <c r="N354" t="str">
        <f t="shared" si="15"/>
        <v>OCCITANIE|11 - Aude|CA Le Grand Narbonne</v>
      </c>
      <c r="O354" s="1" t="str">
        <f t="shared" si="16"/>
        <v>Province</v>
      </c>
    </row>
    <row r="355" spans="1:15" x14ac:dyDescent="0.25">
      <c r="A355" s="1" t="s">
        <v>835</v>
      </c>
      <c r="B355" t="s">
        <v>844</v>
      </c>
      <c r="C355" t="s">
        <v>845</v>
      </c>
      <c r="D355" t="s">
        <v>850</v>
      </c>
      <c r="E355" t="s">
        <v>851</v>
      </c>
      <c r="F355" t="s">
        <v>20</v>
      </c>
      <c r="G355" t="s">
        <v>21</v>
      </c>
      <c r="H355" s="1">
        <v>8010</v>
      </c>
      <c r="I355" s="1">
        <v>11652</v>
      </c>
      <c r="J355" s="1">
        <v>15138</v>
      </c>
      <c r="K355" s="1">
        <f t="shared" si="17"/>
        <v>667.5</v>
      </c>
      <c r="L355" s="1">
        <f t="shared" si="17"/>
        <v>971</v>
      </c>
      <c r="M355" s="1">
        <f t="shared" si="17"/>
        <v>1261.5</v>
      </c>
      <c r="N355" t="str">
        <f t="shared" si="15"/>
        <v>OCCITANIE|11 - Aude|CC du Limouxin</v>
      </c>
      <c r="O355" s="1" t="str">
        <f t="shared" si="16"/>
        <v>Province</v>
      </c>
    </row>
    <row r="356" spans="1:15" x14ac:dyDescent="0.25">
      <c r="A356" s="1" t="s">
        <v>835</v>
      </c>
      <c r="B356" t="s">
        <v>844</v>
      </c>
      <c r="C356" t="s">
        <v>845</v>
      </c>
      <c r="D356" t="s">
        <v>852</v>
      </c>
      <c r="E356" t="s">
        <v>853</v>
      </c>
      <c r="F356" t="s">
        <v>20</v>
      </c>
      <c r="G356" t="s">
        <v>21</v>
      </c>
      <c r="H356" s="1">
        <v>8100</v>
      </c>
      <c r="I356" s="1">
        <v>11640</v>
      </c>
      <c r="J356" s="1">
        <v>15738</v>
      </c>
      <c r="K356" s="1">
        <f t="shared" si="17"/>
        <v>675</v>
      </c>
      <c r="L356" s="1">
        <f t="shared" si="17"/>
        <v>970</v>
      </c>
      <c r="M356" s="1">
        <f t="shared" si="17"/>
        <v>1311.5</v>
      </c>
      <c r="N356" t="str">
        <f t="shared" si="15"/>
        <v>OCCITANIE|11 - Aude|CC Région Lézignanaise, Corbières et Minervois</v>
      </c>
      <c r="O356" s="1" t="str">
        <f t="shared" si="16"/>
        <v>Province</v>
      </c>
    </row>
    <row r="357" spans="1:15" x14ac:dyDescent="0.25">
      <c r="A357" s="1" t="s">
        <v>835</v>
      </c>
      <c r="B357" t="s">
        <v>854</v>
      </c>
      <c r="C357" t="s">
        <v>855</v>
      </c>
      <c r="D357" t="s">
        <v>856</v>
      </c>
      <c r="E357" t="s">
        <v>857</v>
      </c>
      <c r="F357" t="s">
        <v>20</v>
      </c>
      <c r="G357" t="s">
        <v>21</v>
      </c>
      <c r="H357" s="1">
        <v>9199</v>
      </c>
      <c r="I357" s="1">
        <v>12604</v>
      </c>
      <c r="J357" s="1">
        <v>17285</v>
      </c>
      <c r="K357" s="1">
        <f t="shared" si="17"/>
        <v>766.58333333333337</v>
      </c>
      <c r="L357" s="1">
        <f t="shared" si="17"/>
        <v>1050.3333333333333</v>
      </c>
      <c r="M357" s="1">
        <f t="shared" si="17"/>
        <v>1440.4166666666667</v>
      </c>
      <c r="N357" t="str">
        <f t="shared" si="15"/>
        <v>OCCITANIE|12 - Aveyron|CA Rodez Agglomération</v>
      </c>
      <c r="O357" s="1" t="str">
        <f t="shared" si="16"/>
        <v>Province</v>
      </c>
    </row>
    <row r="358" spans="1:15" x14ac:dyDescent="0.25">
      <c r="A358" s="1" t="s">
        <v>835</v>
      </c>
      <c r="B358" t="s">
        <v>854</v>
      </c>
      <c r="C358" t="s">
        <v>855</v>
      </c>
      <c r="D358" t="s">
        <v>858</v>
      </c>
      <c r="E358" t="s">
        <v>859</v>
      </c>
      <c r="F358" t="s">
        <v>20</v>
      </c>
      <c r="G358" t="s">
        <v>21</v>
      </c>
      <c r="H358" s="1">
        <v>9467</v>
      </c>
      <c r="I358" s="1">
        <v>12651</v>
      </c>
      <c r="J358" s="1">
        <v>17173</v>
      </c>
      <c r="K358" s="1">
        <f t="shared" si="17"/>
        <v>788.91666666666663</v>
      </c>
      <c r="L358" s="1">
        <f t="shared" si="17"/>
        <v>1054.25</v>
      </c>
      <c r="M358" s="1">
        <f t="shared" si="17"/>
        <v>1431.0833333333333</v>
      </c>
      <c r="N358" t="str">
        <f t="shared" si="15"/>
        <v>OCCITANIE|12 - Aveyron|CC de Millau Grands Causses</v>
      </c>
      <c r="O358" s="1" t="str">
        <f t="shared" si="16"/>
        <v>Province</v>
      </c>
    </row>
    <row r="359" spans="1:15" x14ac:dyDescent="0.25">
      <c r="A359" s="1" t="s">
        <v>835</v>
      </c>
      <c r="B359" t="s">
        <v>854</v>
      </c>
      <c r="C359" t="s">
        <v>855</v>
      </c>
      <c r="D359" t="s">
        <v>860</v>
      </c>
      <c r="E359" t="s">
        <v>861</v>
      </c>
      <c r="F359" t="s">
        <v>20</v>
      </c>
      <c r="G359" t="s">
        <v>21</v>
      </c>
      <c r="H359" s="1">
        <v>7800</v>
      </c>
      <c r="I359" s="1">
        <v>12162</v>
      </c>
      <c r="J359" s="1">
        <v>16747</v>
      </c>
      <c r="K359" s="1">
        <f t="shared" si="17"/>
        <v>650</v>
      </c>
      <c r="L359" s="1">
        <f t="shared" si="17"/>
        <v>1013.5</v>
      </c>
      <c r="M359" s="1">
        <f t="shared" si="17"/>
        <v>1395.5833333333333</v>
      </c>
      <c r="N359" t="str">
        <f t="shared" si="15"/>
        <v>OCCITANIE|12 - Aveyron|CC Grand-Figeac</v>
      </c>
      <c r="O359" s="1" t="str">
        <f t="shared" si="16"/>
        <v>Province</v>
      </c>
    </row>
    <row r="360" spans="1:15" x14ac:dyDescent="0.25">
      <c r="A360" s="1" t="s">
        <v>835</v>
      </c>
      <c r="B360" t="s">
        <v>854</v>
      </c>
      <c r="C360" t="s">
        <v>855</v>
      </c>
      <c r="D360" t="s">
        <v>862</v>
      </c>
      <c r="E360" t="s">
        <v>863</v>
      </c>
      <c r="F360" t="s">
        <v>20</v>
      </c>
      <c r="G360" t="s">
        <v>21</v>
      </c>
      <c r="H360" s="1">
        <v>8064</v>
      </c>
      <c r="I360" s="1">
        <v>11668</v>
      </c>
      <c r="J360" s="1">
        <v>15654</v>
      </c>
      <c r="K360" s="1">
        <f t="shared" si="17"/>
        <v>672</v>
      </c>
      <c r="L360" s="1">
        <f t="shared" si="17"/>
        <v>972.33333333333337</v>
      </c>
      <c r="M360" s="1">
        <f t="shared" si="17"/>
        <v>1304.5</v>
      </c>
      <c r="N360" t="str">
        <f t="shared" si="15"/>
        <v>OCCITANIE|12 - Aveyron|Ouest Aveyron Communauté</v>
      </c>
      <c r="O360" s="1" t="str">
        <f t="shared" si="16"/>
        <v>Province</v>
      </c>
    </row>
    <row r="361" spans="1:15" x14ac:dyDescent="0.25">
      <c r="A361" s="1" t="s">
        <v>835</v>
      </c>
      <c r="B361" t="s">
        <v>864</v>
      </c>
      <c r="C361" t="s">
        <v>865</v>
      </c>
      <c r="D361" t="s">
        <v>866</v>
      </c>
      <c r="E361" t="s">
        <v>867</v>
      </c>
      <c r="F361" t="s">
        <v>20</v>
      </c>
      <c r="G361" t="s">
        <v>21</v>
      </c>
      <c r="H361" s="1">
        <v>7809</v>
      </c>
      <c r="I361" s="1">
        <v>11848</v>
      </c>
      <c r="J361" s="1">
        <v>16002</v>
      </c>
      <c r="K361" s="1">
        <f t="shared" si="17"/>
        <v>650.75</v>
      </c>
      <c r="L361" s="1">
        <f t="shared" si="17"/>
        <v>987.33333333333337</v>
      </c>
      <c r="M361" s="1">
        <f t="shared" si="17"/>
        <v>1333.5</v>
      </c>
      <c r="N361" t="str">
        <f t="shared" si="15"/>
        <v>OCCITANIE|30 - Gard|CA Alès Agglomération</v>
      </c>
      <c r="O361" s="1" t="str">
        <f t="shared" si="16"/>
        <v>Province</v>
      </c>
    </row>
    <row r="362" spans="1:15" x14ac:dyDescent="0.25">
      <c r="A362" s="1" t="s">
        <v>835</v>
      </c>
      <c r="B362" t="s">
        <v>864</v>
      </c>
      <c r="C362" t="s">
        <v>865</v>
      </c>
      <c r="D362" t="s">
        <v>868</v>
      </c>
      <c r="E362" t="s">
        <v>869</v>
      </c>
      <c r="F362" t="s">
        <v>20</v>
      </c>
      <c r="G362" t="s">
        <v>21</v>
      </c>
      <c r="H362" s="1">
        <v>8096</v>
      </c>
      <c r="I362" s="1">
        <v>12192</v>
      </c>
      <c r="J362" s="1">
        <v>16968</v>
      </c>
      <c r="K362" s="1">
        <f t="shared" si="17"/>
        <v>674.66666666666663</v>
      </c>
      <c r="L362" s="1">
        <f t="shared" si="17"/>
        <v>1016</v>
      </c>
      <c r="M362" s="1">
        <f t="shared" si="17"/>
        <v>1414</v>
      </c>
      <c r="N362" t="str">
        <f t="shared" si="15"/>
        <v>OCCITANIE|30 - Gard|CA de Nîmes Métropole</v>
      </c>
      <c r="O362" s="1" t="str">
        <f t="shared" si="16"/>
        <v>Province</v>
      </c>
    </row>
    <row r="363" spans="1:15" x14ac:dyDescent="0.25">
      <c r="A363" s="1" t="s">
        <v>835</v>
      </c>
      <c r="B363" t="s">
        <v>864</v>
      </c>
      <c r="C363" t="s">
        <v>865</v>
      </c>
      <c r="D363" t="s">
        <v>870</v>
      </c>
      <c r="E363" t="s">
        <v>871</v>
      </c>
      <c r="F363" t="s">
        <v>20</v>
      </c>
      <c r="G363" t="s">
        <v>21</v>
      </c>
      <c r="H363" s="1">
        <v>8128</v>
      </c>
      <c r="I363" s="1">
        <v>12031</v>
      </c>
      <c r="J363" s="1">
        <v>17362</v>
      </c>
      <c r="K363" s="1">
        <f t="shared" si="17"/>
        <v>677.33333333333337</v>
      </c>
      <c r="L363" s="1">
        <f t="shared" si="17"/>
        <v>1002.5833333333334</v>
      </c>
      <c r="M363" s="1">
        <f t="shared" si="17"/>
        <v>1446.8333333333333</v>
      </c>
      <c r="N363" t="str">
        <f t="shared" si="15"/>
        <v>OCCITANIE|30 - Gard|CA du Gard Rhodanien</v>
      </c>
      <c r="O363" s="1" t="str">
        <f t="shared" si="16"/>
        <v>Province</v>
      </c>
    </row>
    <row r="364" spans="1:15" x14ac:dyDescent="0.25">
      <c r="A364" s="1" t="s">
        <v>835</v>
      </c>
      <c r="B364" t="s">
        <v>864</v>
      </c>
      <c r="C364" t="s">
        <v>865</v>
      </c>
      <c r="D364" t="s">
        <v>872</v>
      </c>
      <c r="E364" t="s">
        <v>873</v>
      </c>
      <c r="F364" t="s">
        <v>20</v>
      </c>
      <c r="G364" t="s">
        <v>21</v>
      </c>
      <c r="H364" s="1">
        <v>8902</v>
      </c>
      <c r="I364" s="1">
        <v>12993</v>
      </c>
      <c r="J364" s="1">
        <v>18192</v>
      </c>
      <c r="K364" s="1">
        <f t="shared" si="17"/>
        <v>741.83333333333337</v>
      </c>
      <c r="L364" s="1">
        <f t="shared" si="17"/>
        <v>1082.75</v>
      </c>
      <c r="M364" s="1">
        <f t="shared" si="17"/>
        <v>1516</v>
      </c>
      <c r="N364" t="str">
        <f t="shared" si="15"/>
        <v>OCCITANIE|30 - Gard|CA du Grand Avignon (COGA)</v>
      </c>
      <c r="O364" s="1" t="str">
        <f t="shared" si="16"/>
        <v>Province</v>
      </c>
    </row>
    <row r="365" spans="1:15" x14ac:dyDescent="0.25">
      <c r="A365" s="1" t="s">
        <v>835</v>
      </c>
      <c r="B365" t="s">
        <v>864</v>
      </c>
      <c r="C365" t="s">
        <v>865</v>
      </c>
      <c r="D365" t="s">
        <v>874</v>
      </c>
      <c r="E365" t="s">
        <v>875</v>
      </c>
      <c r="F365" t="s">
        <v>20</v>
      </c>
      <c r="G365" t="s">
        <v>21</v>
      </c>
      <c r="H365" s="1">
        <v>8513</v>
      </c>
      <c r="I365" s="1">
        <v>12192</v>
      </c>
      <c r="J365" s="1">
        <v>16752</v>
      </c>
      <c r="K365" s="1">
        <f t="shared" si="17"/>
        <v>709.41666666666663</v>
      </c>
      <c r="L365" s="1">
        <f t="shared" si="17"/>
        <v>1016</v>
      </c>
      <c r="M365" s="1">
        <f t="shared" si="17"/>
        <v>1396</v>
      </c>
      <c r="N365" t="str">
        <f t="shared" si="15"/>
        <v>OCCITANIE|30 - Gard|CC Beaucaire Terre d'Argence</v>
      </c>
      <c r="O365" s="1" t="str">
        <f t="shared" si="16"/>
        <v>Province</v>
      </c>
    </row>
    <row r="366" spans="1:15" x14ac:dyDescent="0.25">
      <c r="A366" s="1" t="s">
        <v>835</v>
      </c>
      <c r="B366" t="s">
        <v>864</v>
      </c>
      <c r="C366" t="s">
        <v>865</v>
      </c>
      <c r="D366" t="s">
        <v>54</v>
      </c>
      <c r="E366" t="s">
        <v>55</v>
      </c>
      <c r="F366" t="s">
        <v>20</v>
      </c>
      <c r="G366" t="s">
        <v>21</v>
      </c>
      <c r="H366" s="1">
        <v>7000</v>
      </c>
      <c r="I366" s="1">
        <v>11870</v>
      </c>
      <c r="J366" s="1">
        <v>15560</v>
      </c>
      <c r="K366" s="1">
        <f t="shared" si="17"/>
        <v>583.33333333333337</v>
      </c>
      <c r="L366" s="1">
        <f t="shared" si="17"/>
        <v>989.16666666666663</v>
      </c>
      <c r="M366" s="1">
        <f t="shared" si="17"/>
        <v>1296.6666666666667</v>
      </c>
      <c r="N366" t="str">
        <f t="shared" si="15"/>
        <v>OCCITANIE|30 - Gard|CC de Cèze Cévennes</v>
      </c>
      <c r="O366" s="1" t="str">
        <f t="shared" si="16"/>
        <v>Province</v>
      </c>
    </row>
    <row r="367" spans="1:15" x14ac:dyDescent="0.25">
      <c r="A367" s="1" t="s">
        <v>835</v>
      </c>
      <c r="B367" t="s">
        <v>864</v>
      </c>
      <c r="C367" t="s">
        <v>865</v>
      </c>
      <c r="D367" t="s">
        <v>876</v>
      </c>
      <c r="E367" t="s">
        <v>877</v>
      </c>
      <c r="F367" t="s">
        <v>20</v>
      </c>
      <c r="G367" t="s">
        <v>21</v>
      </c>
      <c r="H367" s="1">
        <v>9180</v>
      </c>
      <c r="I367" s="1">
        <v>12192</v>
      </c>
      <c r="J367" s="1">
        <v>17055</v>
      </c>
      <c r="K367" s="1">
        <f t="shared" si="17"/>
        <v>765</v>
      </c>
      <c r="L367" s="1">
        <f t="shared" si="17"/>
        <v>1016</v>
      </c>
      <c r="M367" s="1">
        <f t="shared" si="17"/>
        <v>1421.25</v>
      </c>
      <c r="N367" t="str">
        <f t="shared" si="15"/>
        <v>OCCITANIE|30 - Gard|CC de Petite Camargue</v>
      </c>
      <c r="O367" s="1" t="str">
        <f t="shared" si="16"/>
        <v>Province</v>
      </c>
    </row>
    <row r="368" spans="1:15" x14ac:dyDescent="0.25">
      <c r="A368" s="1" t="s">
        <v>835</v>
      </c>
      <c r="B368" t="s">
        <v>864</v>
      </c>
      <c r="C368" t="s">
        <v>865</v>
      </c>
      <c r="D368" t="s">
        <v>878</v>
      </c>
      <c r="E368" t="s">
        <v>879</v>
      </c>
      <c r="F368" t="s">
        <v>20</v>
      </c>
      <c r="G368" t="s">
        <v>21</v>
      </c>
      <c r="H368" s="1">
        <v>8995</v>
      </c>
      <c r="I368" s="1">
        <v>12192</v>
      </c>
      <c r="J368" s="1">
        <v>16284</v>
      </c>
      <c r="K368" s="1">
        <f t="shared" si="17"/>
        <v>749.58333333333337</v>
      </c>
      <c r="L368" s="1">
        <f t="shared" si="17"/>
        <v>1016</v>
      </c>
      <c r="M368" s="1">
        <f t="shared" si="17"/>
        <v>1357</v>
      </c>
      <c r="N368" t="str">
        <f t="shared" si="15"/>
        <v>OCCITANIE|30 - Gard|CC Pays d'Uzès</v>
      </c>
      <c r="O368" s="1" t="str">
        <f t="shared" si="16"/>
        <v>Province</v>
      </c>
    </row>
    <row r="369" spans="1:15" x14ac:dyDescent="0.25">
      <c r="A369" s="1" t="s">
        <v>835</v>
      </c>
      <c r="B369" t="s">
        <v>880</v>
      </c>
      <c r="C369" t="s">
        <v>881</v>
      </c>
      <c r="D369" t="s">
        <v>882</v>
      </c>
      <c r="E369" t="s">
        <v>883</v>
      </c>
      <c r="F369" t="s">
        <v>20</v>
      </c>
      <c r="G369" t="s">
        <v>21</v>
      </c>
      <c r="H369" s="1">
        <v>9396</v>
      </c>
      <c r="I369" s="1">
        <v>14003</v>
      </c>
      <c r="J369" s="1">
        <v>19560</v>
      </c>
      <c r="K369" s="1">
        <f t="shared" si="17"/>
        <v>783</v>
      </c>
      <c r="L369" s="1">
        <f t="shared" si="17"/>
        <v>1166.9166666666667</v>
      </c>
      <c r="M369" s="1">
        <f t="shared" si="17"/>
        <v>1630</v>
      </c>
      <c r="N369" t="str">
        <f t="shared" si="15"/>
        <v>OCCITANIE|31 - Haute-Garonne|CA du Sicoval</v>
      </c>
      <c r="O369" s="1" t="str">
        <f t="shared" si="16"/>
        <v>Province</v>
      </c>
    </row>
    <row r="370" spans="1:15" x14ac:dyDescent="0.25">
      <c r="A370" s="1" t="s">
        <v>835</v>
      </c>
      <c r="B370" t="s">
        <v>880</v>
      </c>
      <c r="C370" t="s">
        <v>881</v>
      </c>
      <c r="D370" t="s">
        <v>884</v>
      </c>
      <c r="E370" t="s">
        <v>885</v>
      </c>
      <c r="F370" t="s">
        <v>20</v>
      </c>
      <c r="G370" t="s">
        <v>21</v>
      </c>
      <c r="H370" s="1">
        <v>11003</v>
      </c>
      <c r="I370" s="1">
        <v>14667</v>
      </c>
      <c r="J370" s="1">
        <v>19600</v>
      </c>
      <c r="K370" s="1">
        <f t="shared" si="17"/>
        <v>916.91666666666663</v>
      </c>
      <c r="L370" s="1">
        <f t="shared" si="17"/>
        <v>1222.25</v>
      </c>
      <c r="M370" s="1">
        <f t="shared" si="17"/>
        <v>1633.3333333333333</v>
      </c>
      <c r="N370" t="str">
        <f t="shared" si="15"/>
        <v>OCCITANIE|31 - Haute-Garonne|CA Le Muretain Agglo</v>
      </c>
      <c r="O370" s="1" t="str">
        <f t="shared" si="16"/>
        <v>Province</v>
      </c>
    </row>
    <row r="371" spans="1:15" x14ac:dyDescent="0.25">
      <c r="A371" s="1" t="s">
        <v>835</v>
      </c>
      <c r="B371" t="s">
        <v>880</v>
      </c>
      <c r="C371" t="s">
        <v>881</v>
      </c>
      <c r="D371" t="s">
        <v>886</v>
      </c>
      <c r="E371" t="s">
        <v>887</v>
      </c>
      <c r="F371" t="s">
        <v>20</v>
      </c>
      <c r="G371" t="s">
        <v>21</v>
      </c>
      <c r="H371" s="1">
        <v>7968</v>
      </c>
      <c r="I371" s="1">
        <v>11420</v>
      </c>
      <c r="J371" s="1">
        <v>14415</v>
      </c>
      <c r="K371" s="1">
        <f t="shared" si="17"/>
        <v>664</v>
      </c>
      <c r="L371" s="1">
        <f t="shared" si="17"/>
        <v>951.66666666666663</v>
      </c>
      <c r="M371" s="1">
        <f t="shared" si="17"/>
        <v>1201.25</v>
      </c>
      <c r="N371" t="str">
        <f t="shared" si="15"/>
        <v>OCCITANIE|31 - Haute-Garonne|CC Coeur et Coteaux du Comminges</v>
      </c>
      <c r="O371" s="1" t="str">
        <f t="shared" si="16"/>
        <v>Province</v>
      </c>
    </row>
    <row r="372" spans="1:15" x14ac:dyDescent="0.25">
      <c r="A372" s="1" t="s">
        <v>835</v>
      </c>
      <c r="B372" t="s">
        <v>880</v>
      </c>
      <c r="C372" t="s">
        <v>881</v>
      </c>
      <c r="D372" t="s">
        <v>888</v>
      </c>
      <c r="E372" t="s">
        <v>889</v>
      </c>
      <c r="F372" t="s">
        <v>20</v>
      </c>
      <c r="G372" t="s">
        <v>21</v>
      </c>
      <c r="H372" s="1">
        <v>10056</v>
      </c>
      <c r="I372" s="1">
        <v>13416</v>
      </c>
      <c r="J372" s="1">
        <v>17600</v>
      </c>
      <c r="K372" s="1">
        <f t="shared" si="17"/>
        <v>838</v>
      </c>
      <c r="L372" s="1">
        <f t="shared" si="17"/>
        <v>1118</v>
      </c>
      <c r="M372" s="1">
        <f t="shared" si="17"/>
        <v>1466.6666666666667</v>
      </c>
      <c r="N372" t="str">
        <f t="shared" si="15"/>
        <v>OCCITANIE|31 - Haute-Garonne|CC du Bassin Auterivain Haut-Garonnais</v>
      </c>
      <c r="O372" s="1" t="str">
        <f t="shared" si="16"/>
        <v>Province</v>
      </c>
    </row>
    <row r="373" spans="1:15" x14ac:dyDescent="0.25">
      <c r="A373" s="1" t="s">
        <v>835</v>
      </c>
      <c r="B373" t="s">
        <v>880</v>
      </c>
      <c r="C373" t="s">
        <v>881</v>
      </c>
      <c r="D373" t="s">
        <v>890</v>
      </c>
      <c r="E373" t="s">
        <v>891</v>
      </c>
      <c r="F373" t="s">
        <v>20</v>
      </c>
      <c r="G373" t="s">
        <v>21</v>
      </c>
      <c r="H373" s="1">
        <v>9984</v>
      </c>
      <c r="I373" s="1">
        <v>13440</v>
      </c>
      <c r="J373" s="1">
        <v>17640</v>
      </c>
      <c r="K373" s="1">
        <f t="shared" si="17"/>
        <v>832</v>
      </c>
      <c r="L373" s="1">
        <f t="shared" si="17"/>
        <v>1120</v>
      </c>
      <c r="M373" s="1">
        <f t="shared" si="17"/>
        <v>1470</v>
      </c>
      <c r="N373" t="str">
        <f t="shared" si="15"/>
        <v>OCCITANIE|31 - Haute-Garonne|CC Tarn-Agout</v>
      </c>
      <c r="O373" s="1" t="str">
        <f t="shared" si="16"/>
        <v>Province</v>
      </c>
    </row>
    <row r="374" spans="1:15" x14ac:dyDescent="0.25">
      <c r="A374" s="1" t="s">
        <v>835</v>
      </c>
      <c r="B374" t="s">
        <v>880</v>
      </c>
      <c r="C374" t="s">
        <v>881</v>
      </c>
      <c r="D374" t="s">
        <v>892</v>
      </c>
      <c r="E374" t="s">
        <v>893</v>
      </c>
      <c r="F374" t="s">
        <v>20</v>
      </c>
      <c r="G374" t="s">
        <v>21</v>
      </c>
      <c r="H374" s="1">
        <v>11015</v>
      </c>
      <c r="I374" s="1">
        <v>14769</v>
      </c>
      <c r="J374" s="1">
        <v>19362</v>
      </c>
      <c r="K374" s="1">
        <f t="shared" si="17"/>
        <v>917.91666666666663</v>
      </c>
      <c r="L374" s="1">
        <f t="shared" si="17"/>
        <v>1230.75</v>
      </c>
      <c r="M374" s="1">
        <f t="shared" si="17"/>
        <v>1613.5</v>
      </c>
      <c r="N374" t="str">
        <f t="shared" si="15"/>
        <v>OCCITANIE|31 - Haute-Garonne|Le Grand Ouest Toulousain</v>
      </c>
      <c r="O374" s="1" t="str">
        <f t="shared" si="16"/>
        <v>Province</v>
      </c>
    </row>
    <row r="375" spans="1:15" x14ac:dyDescent="0.25">
      <c r="A375" s="1" t="s">
        <v>835</v>
      </c>
      <c r="B375" t="s">
        <v>880</v>
      </c>
      <c r="C375" t="s">
        <v>881</v>
      </c>
      <c r="D375" t="s">
        <v>894</v>
      </c>
      <c r="E375" t="s">
        <v>895</v>
      </c>
      <c r="F375" t="s">
        <v>20</v>
      </c>
      <c r="G375" t="s">
        <v>21</v>
      </c>
      <c r="H375" s="1">
        <v>9763</v>
      </c>
      <c r="I375" s="1">
        <v>13764</v>
      </c>
      <c r="J375" s="1">
        <v>19104</v>
      </c>
      <c r="K375" s="1">
        <f t="shared" si="17"/>
        <v>813.58333333333337</v>
      </c>
      <c r="L375" s="1">
        <f t="shared" si="17"/>
        <v>1147</v>
      </c>
      <c r="M375" s="1">
        <f t="shared" si="17"/>
        <v>1592</v>
      </c>
      <c r="N375" t="str">
        <f t="shared" si="15"/>
        <v>OCCITANIE|31 - Haute-Garonne|Toulouse Métropole</v>
      </c>
      <c r="O375" s="1" t="str">
        <f t="shared" si="16"/>
        <v>Province</v>
      </c>
    </row>
    <row r="376" spans="1:15" x14ac:dyDescent="0.25">
      <c r="A376" s="1" t="s">
        <v>835</v>
      </c>
      <c r="B376" t="s">
        <v>896</v>
      </c>
      <c r="C376" t="s">
        <v>897</v>
      </c>
      <c r="D376" t="s">
        <v>898</v>
      </c>
      <c r="E376" t="s">
        <v>899</v>
      </c>
      <c r="F376" t="s">
        <v>20</v>
      </c>
      <c r="G376" t="s">
        <v>21</v>
      </c>
      <c r="H376" s="1">
        <v>8433</v>
      </c>
      <c r="I376" s="1">
        <v>12346</v>
      </c>
      <c r="J376" s="1">
        <v>17066</v>
      </c>
      <c r="K376" s="1">
        <f t="shared" si="17"/>
        <v>702.75</v>
      </c>
      <c r="L376" s="1">
        <f t="shared" si="17"/>
        <v>1028.8333333333333</v>
      </c>
      <c r="M376" s="1">
        <f t="shared" si="17"/>
        <v>1422.1666666666667</v>
      </c>
      <c r="N376" t="str">
        <f t="shared" si="15"/>
        <v>OCCITANIE|32 - Gers|CA Grand Auch Coeur de Gascogne</v>
      </c>
      <c r="O376" s="1" t="str">
        <f t="shared" si="16"/>
        <v>Province</v>
      </c>
    </row>
    <row r="377" spans="1:15" x14ac:dyDescent="0.25">
      <c r="A377" s="1" t="s">
        <v>835</v>
      </c>
      <c r="B377" t="s">
        <v>900</v>
      </c>
      <c r="C377" t="s">
        <v>901</v>
      </c>
      <c r="D377" t="s">
        <v>902</v>
      </c>
      <c r="E377" t="s">
        <v>903</v>
      </c>
      <c r="F377" t="s">
        <v>20</v>
      </c>
      <c r="G377" t="s">
        <v>21</v>
      </c>
      <c r="H377" s="1">
        <v>7909</v>
      </c>
      <c r="I377" s="1">
        <v>11909</v>
      </c>
      <c r="J377" s="1">
        <v>16040</v>
      </c>
      <c r="K377" s="1">
        <f t="shared" si="17"/>
        <v>659.08333333333337</v>
      </c>
      <c r="L377" s="1">
        <f t="shared" si="17"/>
        <v>992.41666666666663</v>
      </c>
      <c r="M377" s="1">
        <f t="shared" si="17"/>
        <v>1336.6666666666667</v>
      </c>
      <c r="N377" t="str">
        <f t="shared" si="15"/>
        <v>OCCITANIE|34 - Hérault|CA de Béziers-Méditerranée</v>
      </c>
      <c r="O377" s="1" t="str">
        <f t="shared" si="16"/>
        <v>Province</v>
      </c>
    </row>
    <row r="378" spans="1:15" x14ac:dyDescent="0.25">
      <c r="A378" s="1" t="s">
        <v>835</v>
      </c>
      <c r="B378" t="s">
        <v>900</v>
      </c>
      <c r="C378" t="s">
        <v>901</v>
      </c>
      <c r="D378" t="s">
        <v>904</v>
      </c>
      <c r="E378" t="s">
        <v>905</v>
      </c>
      <c r="F378" t="s">
        <v>20</v>
      </c>
      <c r="G378" t="s">
        <v>21</v>
      </c>
      <c r="H378" s="1">
        <v>11139</v>
      </c>
      <c r="I378" s="1">
        <v>15003</v>
      </c>
      <c r="J378" s="1">
        <v>19887</v>
      </c>
      <c r="K378" s="1">
        <f t="shared" si="17"/>
        <v>928.25</v>
      </c>
      <c r="L378" s="1">
        <f t="shared" si="17"/>
        <v>1250.25</v>
      </c>
      <c r="M378" s="1">
        <f t="shared" si="17"/>
        <v>1657.25</v>
      </c>
      <c r="N378" t="str">
        <f t="shared" si="15"/>
        <v>OCCITANIE|34 - Hérault|CA du Pays de l'Or</v>
      </c>
      <c r="O378" s="1" t="str">
        <f t="shared" si="16"/>
        <v>Province</v>
      </c>
    </row>
    <row r="379" spans="1:15" x14ac:dyDescent="0.25">
      <c r="A379" s="1" t="s">
        <v>835</v>
      </c>
      <c r="B379" t="s">
        <v>900</v>
      </c>
      <c r="C379" t="s">
        <v>901</v>
      </c>
      <c r="D379" t="s">
        <v>906</v>
      </c>
      <c r="E379" t="s">
        <v>907</v>
      </c>
      <c r="F379" t="s">
        <v>20</v>
      </c>
      <c r="G379" t="s">
        <v>21</v>
      </c>
      <c r="H379" s="1">
        <v>8900</v>
      </c>
      <c r="I379" s="1">
        <v>12246</v>
      </c>
      <c r="J379" s="1">
        <v>17110</v>
      </c>
      <c r="K379" s="1">
        <f t="shared" si="17"/>
        <v>741.66666666666663</v>
      </c>
      <c r="L379" s="1">
        <f t="shared" si="17"/>
        <v>1020.5</v>
      </c>
      <c r="M379" s="1">
        <f t="shared" si="17"/>
        <v>1425.8333333333333</v>
      </c>
      <c r="N379" t="str">
        <f t="shared" si="15"/>
        <v>OCCITANIE|34 - Hérault|CA Hérault-Méditerranée</v>
      </c>
      <c r="O379" s="1" t="str">
        <f t="shared" si="16"/>
        <v>Province</v>
      </c>
    </row>
    <row r="380" spans="1:15" x14ac:dyDescent="0.25">
      <c r="A380" s="1" t="s">
        <v>835</v>
      </c>
      <c r="B380" t="s">
        <v>900</v>
      </c>
      <c r="C380" t="s">
        <v>901</v>
      </c>
      <c r="D380" t="s">
        <v>908</v>
      </c>
      <c r="E380" t="s">
        <v>909</v>
      </c>
      <c r="F380" t="s">
        <v>20</v>
      </c>
      <c r="G380" t="s">
        <v>21</v>
      </c>
      <c r="H380" s="1">
        <v>9378</v>
      </c>
      <c r="I380" s="1">
        <v>12919</v>
      </c>
      <c r="J380" s="1">
        <v>17684</v>
      </c>
      <c r="K380" s="1">
        <f t="shared" si="17"/>
        <v>781.5</v>
      </c>
      <c r="L380" s="1">
        <f t="shared" si="17"/>
        <v>1076.5833333333333</v>
      </c>
      <c r="M380" s="1">
        <f t="shared" si="17"/>
        <v>1473.6666666666667</v>
      </c>
      <c r="N380" t="str">
        <f t="shared" si="15"/>
        <v>OCCITANIE|34 - Hérault|CA Lunel Agglo</v>
      </c>
      <c r="O380" s="1" t="str">
        <f t="shared" si="16"/>
        <v>Province</v>
      </c>
    </row>
    <row r="381" spans="1:15" x14ac:dyDescent="0.25">
      <c r="A381" s="1" t="s">
        <v>835</v>
      </c>
      <c r="B381" t="s">
        <v>900</v>
      </c>
      <c r="C381" t="s">
        <v>901</v>
      </c>
      <c r="D381" t="s">
        <v>910</v>
      </c>
      <c r="E381" t="s">
        <v>911</v>
      </c>
      <c r="F381" t="s">
        <v>20</v>
      </c>
      <c r="G381" t="s">
        <v>21</v>
      </c>
      <c r="H381" s="1">
        <v>9484</v>
      </c>
      <c r="I381" s="1">
        <v>13300</v>
      </c>
      <c r="J381" s="1">
        <v>18296</v>
      </c>
      <c r="K381" s="1">
        <f t="shared" si="17"/>
        <v>790.33333333333337</v>
      </c>
      <c r="L381" s="1">
        <f t="shared" si="17"/>
        <v>1108.3333333333333</v>
      </c>
      <c r="M381" s="1">
        <f t="shared" si="17"/>
        <v>1524.6666666666667</v>
      </c>
      <c r="N381" t="str">
        <f t="shared" si="15"/>
        <v>OCCITANIE|34 - Hérault|CA Sète Agglopôle Méditerranée</v>
      </c>
      <c r="O381" s="1" t="str">
        <f t="shared" si="16"/>
        <v>Province</v>
      </c>
    </row>
    <row r="382" spans="1:15" x14ac:dyDescent="0.25">
      <c r="A382" s="1" t="s">
        <v>835</v>
      </c>
      <c r="B382" t="s">
        <v>900</v>
      </c>
      <c r="C382" t="s">
        <v>901</v>
      </c>
      <c r="D382" t="s">
        <v>912</v>
      </c>
      <c r="E382" t="s">
        <v>913</v>
      </c>
      <c r="F382" t="s">
        <v>20</v>
      </c>
      <c r="G382" t="s">
        <v>21</v>
      </c>
      <c r="H382" s="1">
        <v>8190</v>
      </c>
      <c r="I382" s="1">
        <v>12191</v>
      </c>
      <c r="J382" s="1">
        <v>16198</v>
      </c>
      <c r="K382" s="1">
        <f t="shared" si="17"/>
        <v>682.5</v>
      </c>
      <c r="L382" s="1">
        <f t="shared" si="17"/>
        <v>1015.9166666666666</v>
      </c>
      <c r="M382" s="1">
        <f t="shared" si="17"/>
        <v>1349.8333333333333</v>
      </c>
      <c r="N382" t="str">
        <f t="shared" si="15"/>
        <v>OCCITANIE|34 - Hérault|CC du Clermontais</v>
      </c>
      <c r="O382" s="1" t="str">
        <f t="shared" si="16"/>
        <v>Province</v>
      </c>
    </row>
    <row r="383" spans="1:15" x14ac:dyDescent="0.25">
      <c r="A383" s="1" t="s">
        <v>835</v>
      </c>
      <c r="B383" t="s">
        <v>900</v>
      </c>
      <c r="C383" t="s">
        <v>901</v>
      </c>
      <c r="D383" t="s">
        <v>914</v>
      </c>
      <c r="E383" t="s">
        <v>915</v>
      </c>
      <c r="F383" t="s">
        <v>20</v>
      </c>
      <c r="G383" t="s">
        <v>21</v>
      </c>
      <c r="H383" s="1">
        <v>11350</v>
      </c>
      <c r="I383" s="1">
        <v>15600</v>
      </c>
      <c r="J383" s="1">
        <v>19953</v>
      </c>
      <c r="K383" s="1">
        <f t="shared" si="17"/>
        <v>945.83333333333337</v>
      </c>
      <c r="L383" s="1">
        <f t="shared" si="17"/>
        <v>1300</v>
      </c>
      <c r="M383" s="1">
        <f t="shared" si="17"/>
        <v>1662.75</v>
      </c>
      <c r="N383" t="str">
        <f t="shared" si="15"/>
        <v>OCCITANIE|34 - Hérault|CC du Grand Pic Saint-Loup</v>
      </c>
      <c r="O383" s="1" t="str">
        <f t="shared" si="16"/>
        <v>Province</v>
      </c>
    </row>
    <row r="384" spans="1:15" x14ac:dyDescent="0.25">
      <c r="A384" s="1" t="s">
        <v>835</v>
      </c>
      <c r="B384" t="s">
        <v>900</v>
      </c>
      <c r="C384" t="s">
        <v>901</v>
      </c>
      <c r="D384" t="s">
        <v>916</v>
      </c>
      <c r="E384" t="s">
        <v>917</v>
      </c>
      <c r="F384" t="s">
        <v>20</v>
      </c>
      <c r="G384" t="s">
        <v>21</v>
      </c>
      <c r="H384" s="1">
        <v>7817</v>
      </c>
      <c r="I384" s="1">
        <v>12108</v>
      </c>
      <c r="J384" s="1">
        <v>15840</v>
      </c>
      <c r="K384" s="1">
        <f t="shared" si="17"/>
        <v>651.41666666666663</v>
      </c>
      <c r="L384" s="1">
        <f t="shared" si="17"/>
        <v>1009</v>
      </c>
      <c r="M384" s="1">
        <f t="shared" si="17"/>
        <v>1320</v>
      </c>
      <c r="N384" t="str">
        <f t="shared" si="15"/>
        <v>OCCITANIE|34 - Hérault|CC Grand Orb Communauté de Communes en Languedoc</v>
      </c>
      <c r="O384" s="1" t="str">
        <f t="shared" si="16"/>
        <v>Province</v>
      </c>
    </row>
    <row r="385" spans="1:15" x14ac:dyDescent="0.25">
      <c r="A385" s="1" t="s">
        <v>835</v>
      </c>
      <c r="B385" t="s">
        <v>900</v>
      </c>
      <c r="C385" t="s">
        <v>901</v>
      </c>
      <c r="D385" t="s">
        <v>918</v>
      </c>
      <c r="E385" t="s">
        <v>919</v>
      </c>
      <c r="F385" t="s">
        <v>20</v>
      </c>
      <c r="G385" t="s">
        <v>21</v>
      </c>
      <c r="H385" s="1">
        <v>7575</v>
      </c>
      <c r="I385" s="1">
        <v>11751</v>
      </c>
      <c r="J385" s="1">
        <v>15714</v>
      </c>
      <c r="K385" s="1">
        <f t="shared" si="17"/>
        <v>631.25</v>
      </c>
      <c r="L385" s="1">
        <f t="shared" si="17"/>
        <v>979.25</v>
      </c>
      <c r="M385" s="1">
        <f t="shared" si="17"/>
        <v>1309.5</v>
      </c>
      <c r="N385" t="str">
        <f t="shared" si="15"/>
        <v>OCCITANIE|34 - Hérault|CC Lodévois et Larzac</v>
      </c>
      <c r="O385" s="1" t="str">
        <f t="shared" si="16"/>
        <v>Province</v>
      </c>
    </row>
    <row r="386" spans="1:15" x14ac:dyDescent="0.25">
      <c r="A386" s="1" t="s">
        <v>835</v>
      </c>
      <c r="B386" t="s">
        <v>900</v>
      </c>
      <c r="C386" t="s">
        <v>901</v>
      </c>
      <c r="D386" t="s">
        <v>920</v>
      </c>
      <c r="E386" t="s">
        <v>921</v>
      </c>
      <c r="F386" t="s">
        <v>20</v>
      </c>
      <c r="G386" t="s">
        <v>21</v>
      </c>
      <c r="H386" s="1">
        <v>9480</v>
      </c>
      <c r="I386" s="1">
        <v>13689</v>
      </c>
      <c r="J386" s="1">
        <v>19272</v>
      </c>
      <c r="K386" s="1">
        <f t="shared" si="17"/>
        <v>790</v>
      </c>
      <c r="L386" s="1">
        <f t="shared" si="17"/>
        <v>1140.75</v>
      </c>
      <c r="M386" s="1">
        <f t="shared" si="17"/>
        <v>1606</v>
      </c>
      <c r="N386" t="str">
        <f t="shared" ref="N386:N449" si="18">SUBSTITUTE(
   UPPER(SUBSTITUTE(TRIM(A386), CHAR(160), " ")) &amp; "|" &amp;
   SUBSTITUTE(TRIM(C386), CHAR(160), " ") &amp; "|" &amp;
   SUBSTITUTE(TRIM(D386), CHAR(160), " "),
   "–", "-"
)</f>
        <v>OCCITANIE|34 - Hérault|Montpellier Méditerranée Métropole</v>
      </c>
      <c r="O386" s="1" t="str">
        <f t="shared" ref="O386:O449" si="19">IF(A386="Hauts-de-France", "HDF",
IF(A386="Île-de-France", "IDF",
IF(OR(A386="Guadeloupe", A386="Martinique", A386="Guyane", A386="La Réunion", A386="Mayotte"), "OM", "Province")))</f>
        <v>Province</v>
      </c>
    </row>
    <row r="387" spans="1:15" x14ac:dyDescent="0.25">
      <c r="A387" s="1" t="s">
        <v>835</v>
      </c>
      <c r="B387" t="s">
        <v>922</v>
      </c>
      <c r="C387" t="s">
        <v>923</v>
      </c>
      <c r="D387" t="s">
        <v>924</v>
      </c>
      <c r="E387" t="s">
        <v>925</v>
      </c>
      <c r="F387" t="s">
        <v>20</v>
      </c>
      <c r="G387" t="s">
        <v>21</v>
      </c>
      <c r="H387" s="1">
        <v>8127</v>
      </c>
      <c r="I387" s="1">
        <v>12313</v>
      </c>
      <c r="J387" s="1">
        <v>17214</v>
      </c>
      <c r="K387" s="1">
        <f t="shared" ref="K387:M450" si="20">H387/12</f>
        <v>677.25</v>
      </c>
      <c r="L387" s="1">
        <f t="shared" si="20"/>
        <v>1026.0833333333333</v>
      </c>
      <c r="M387" s="1">
        <f t="shared" si="20"/>
        <v>1434.5</v>
      </c>
      <c r="N387" t="str">
        <f t="shared" si="18"/>
        <v>OCCITANIE|46 - Lot|CA du Grand Cahors</v>
      </c>
      <c r="O387" s="1" t="str">
        <f t="shared" si="19"/>
        <v>Province</v>
      </c>
    </row>
    <row r="388" spans="1:15" x14ac:dyDescent="0.25">
      <c r="A388" s="1" t="s">
        <v>835</v>
      </c>
      <c r="B388" t="s">
        <v>922</v>
      </c>
      <c r="C388" t="s">
        <v>923</v>
      </c>
      <c r="D388" t="s">
        <v>860</v>
      </c>
      <c r="E388" t="s">
        <v>861</v>
      </c>
      <c r="F388" t="s">
        <v>20</v>
      </c>
      <c r="G388" t="s">
        <v>21</v>
      </c>
      <c r="H388" s="1">
        <v>7800</v>
      </c>
      <c r="I388" s="1">
        <v>12162</v>
      </c>
      <c r="J388" s="1">
        <v>16747</v>
      </c>
      <c r="K388" s="1">
        <f t="shared" si="20"/>
        <v>650</v>
      </c>
      <c r="L388" s="1">
        <f t="shared" si="20"/>
        <v>1013.5</v>
      </c>
      <c r="M388" s="1">
        <f t="shared" si="20"/>
        <v>1395.5833333333333</v>
      </c>
      <c r="N388" t="str">
        <f t="shared" si="18"/>
        <v>OCCITANIE|46 - Lot|CC Grand-Figeac</v>
      </c>
      <c r="O388" s="1" t="str">
        <f t="shared" si="19"/>
        <v>Province</v>
      </c>
    </row>
    <row r="389" spans="1:15" x14ac:dyDescent="0.25">
      <c r="A389" s="1" t="s">
        <v>835</v>
      </c>
      <c r="B389" t="s">
        <v>922</v>
      </c>
      <c r="C389" t="s">
        <v>923</v>
      </c>
      <c r="D389" t="s">
        <v>862</v>
      </c>
      <c r="E389" t="s">
        <v>863</v>
      </c>
      <c r="F389" t="s">
        <v>20</v>
      </c>
      <c r="G389" t="s">
        <v>21</v>
      </c>
      <c r="H389" s="1">
        <v>8064</v>
      </c>
      <c r="I389" s="1">
        <v>11668</v>
      </c>
      <c r="J389" s="1">
        <v>15654</v>
      </c>
      <c r="K389" s="1">
        <f t="shared" si="20"/>
        <v>672</v>
      </c>
      <c r="L389" s="1">
        <f t="shared" si="20"/>
        <v>972.33333333333337</v>
      </c>
      <c r="M389" s="1">
        <f t="shared" si="20"/>
        <v>1304.5</v>
      </c>
      <c r="N389" t="str">
        <f t="shared" si="18"/>
        <v>OCCITANIE|46 - Lot|Ouest Aveyron Communauté</v>
      </c>
      <c r="O389" s="1" t="str">
        <f t="shared" si="19"/>
        <v>Province</v>
      </c>
    </row>
    <row r="390" spans="1:15" x14ac:dyDescent="0.25">
      <c r="A390" s="1" t="s">
        <v>835</v>
      </c>
      <c r="B390" t="s">
        <v>926</v>
      </c>
      <c r="C390" t="s">
        <v>927</v>
      </c>
      <c r="D390" t="s">
        <v>928</v>
      </c>
      <c r="E390" t="s">
        <v>929</v>
      </c>
      <c r="F390" t="s">
        <v>20</v>
      </c>
      <c r="G390" t="s">
        <v>21</v>
      </c>
      <c r="H390" s="1">
        <v>8699</v>
      </c>
      <c r="I390" s="1">
        <v>12808</v>
      </c>
      <c r="J390" s="1">
        <v>18766</v>
      </c>
      <c r="K390" s="1">
        <f t="shared" si="20"/>
        <v>724.91666666666663</v>
      </c>
      <c r="L390" s="1">
        <f t="shared" si="20"/>
        <v>1067.3333333333333</v>
      </c>
      <c r="M390" s="1">
        <f t="shared" si="20"/>
        <v>1563.8333333333333</v>
      </c>
      <c r="N390" t="str">
        <f t="shared" si="18"/>
        <v>OCCITANIE|48 - Lozère|CC Coeur de Lozère</v>
      </c>
      <c r="O390" s="1" t="str">
        <f t="shared" si="19"/>
        <v>Province</v>
      </c>
    </row>
    <row r="391" spans="1:15" x14ac:dyDescent="0.25">
      <c r="A391" s="1" t="s">
        <v>835</v>
      </c>
      <c r="B391" t="s">
        <v>926</v>
      </c>
      <c r="C391" t="s">
        <v>927</v>
      </c>
      <c r="D391" t="s">
        <v>858</v>
      </c>
      <c r="E391" t="s">
        <v>859</v>
      </c>
      <c r="F391" t="s">
        <v>20</v>
      </c>
      <c r="G391" t="s">
        <v>21</v>
      </c>
      <c r="H391" s="1">
        <v>9467</v>
      </c>
      <c r="I391" s="1">
        <v>12651</v>
      </c>
      <c r="J391" s="1">
        <v>17173</v>
      </c>
      <c r="K391" s="1">
        <f t="shared" si="20"/>
        <v>788.91666666666663</v>
      </c>
      <c r="L391" s="1">
        <f t="shared" si="20"/>
        <v>1054.25</v>
      </c>
      <c r="M391" s="1">
        <f t="shared" si="20"/>
        <v>1431.0833333333333</v>
      </c>
      <c r="N391" t="str">
        <f t="shared" si="18"/>
        <v>OCCITANIE|48 - Lozère|CC de Millau Grands Causses</v>
      </c>
      <c r="O391" s="1" t="str">
        <f t="shared" si="19"/>
        <v>Province</v>
      </c>
    </row>
    <row r="392" spans="1:15" x14ac:dyDescent="0.25">
      <c r="A392" s="1" t="s">
        <v>835</v>
      </c>
      <c r="B392" t="s">
        <v>930</v>
      </c>
      <c r="C392" t="s">
        <v>931</v>
      </c>
      <c r="D392" t="s">
        <v>932</v>
      </c>
      <c r="E392" t="s">
        <v>933</v>
      </c>
      <c r="F392" t="s">
        <v>20</v>
      </c>
      <c r="G392" t="s">
        <v>21</v>
      </c>
      <c r="H392" s="1">
        <v>8880</v>
      </c>
      <c r="I392" s="1">
        <v>12360</v>
      </c>
      <c r="J392" s="1">
        <v>17186</v>
      </c>
      <c r="K392" s="1">
        <f t="shared" si="20"/>
        <v>740</v>
      </c>
      <c r="L392" s="1">
        <f t="shared" si="20"/>
        <v>1030</v>
      </c>
      <c r="M392" s="1">
        <f t="shared" si="20"/>
        <v>1432.1666666666667</v>
      </c>
      <c r="N392" t="str">
        <f t="shared" si="18"/>
        <v>OCCITANIE|65 - Hautes-Pyrénées|CA Tarbes-Lourdes-Pyrénées</v>
      </c>
      <c r="O392" s="1" t="str">
        <f t="shared" si="19"/>
        <v>Province</v>
      </c>
    </row>
    <row r="393" spans="1:15" x14ac:dyDescent="0.25">
      <c r="A393" s="1" t="s">
        <v>835</v>
      </c>
      <c r="B393" t="s">
        <v>934</v>
      </c>
      <c r="C393" t="s">
        <v>935</v>
      </c>
      <c r="D393" t="s">
        <v>936</v>
      </c>
      <c r="E393" t="s">
        <v>937</v>
      </c>
      <c r="F393" t="s">
        <v>20</v>
      </c>
      <c r="G393" t="s">
        <v>21</v>
      </c>
      <c r="H393" s="1">
        <v>8813</v>
      </c>
      <c r="I393" s="1">
        <v>12900</v>
      </c>
      <c r="J393" s="1">
        <v>17600</v>
      </c>
      <c r="K393" s="1">
        <f t="shared" si="20"/>
        <v>734.41666666666663</v>
      </c>
      <c r="L393" s="1">
        <f t="shared" si="20"/>
        <v>1075</v>
      </c>
      <c r="M393" s="1">
        <f t="shared" si="20"/>
        <v>1466.6666666666667</v>
      </c>
      <c r="N393" t="str">
        <f t="shared" si="18"/>
        <v>OCCITANIE|66 - Pyrénées Orientales|CC des Albères, de la Côte Vermeille et de l'Illibéris</v>
      </c>
      <c r="O393" s="1" t="str">
        <f t="shared" si="19"/>
        <v>Province</v>
      </c>
    </row>
    <row r="394" spans="1:15" x14ac:dyDescent="0.25">
      <c r="A394" s="1" t="s">
        <v>835</v>
      </c>
      <c r="B394" t="s">
        <v>934</v>
      </c>
      <c r="C394" t="s">
        <v>935</v>
      </c>
      <c r="D394" t="s">
        <v>938</v>
      </c>
      <c r="E394" t="s">
        <v>939</v>
      </c>
      <c r="F394" t="s">
        <v>20</v>
      </c>
      <c r="G394" t="s">
        <v>21</v>
      </c>
      <c r="H394" s="1">
        <v>8031</v>
      </c>
      <c r="I394" s="1">
        <v>12000</v>
      </c>
      <c r="J394" s="1">
        <v>16615</v>
      </c>
      <c r="K394" s="1">
        <f t="shared" si="20"/>
        <v>669.25</v>
      </c>
      <c r="L394" s="1">
        <f t="shared" si="20"/>
        <v>1000</v>
      </c>
      <c r="M394" s="1">
        <f t="shared" si="20"/>
        <v>1384.5833333333333</v>
      </c>
      <c r="N394" t="str">
        <f t="shared" si="18"/>
        <v>OCCITANIE|66 - Pyrénées Orientales|CU Perpignan Méditerranée Métropole</v>
      </c>
      <c r="O394" s="1" t="str">
        <f t="shared" si="19"/>
        <v>Province</v>
      </c>
    </row>
    <row r="395" spans="1:15" x14ac:dyDescent="0.25">
      <c r="A395" s="1" t="s">
        <v>835</v>
      </c>
      <c r="B395" t="s">
        <v>940</v>
      </c>
      <c r="C395" t="s">
        <v>941</v>
      </c>
      <c r="D395" t="s">
        <v>942</v>
      </c>
      <c r="E395" t="s">
        <v>943</v>
      </c>
      <c r="F395" t="s">
        <v>20</v>
      </c>
      <c r="G395" t="s">
        <v>21</v>
      </c>
      <c r="H395" s="1">
        <v>7896</v>
      </c>
      <c r="I395" s="1">
        <v>11532</v>
      </c>
      <c r="J395" s="1">
        <v>14817</v>
      </c>
      <c r="K395" s="1">
        <f t="shared" si="20"/>
        <v>658</v>
      </c>
      <c r="L395" s="1">
        <f t="shared" si="20"/>
        <v>961</v>
      </c>
      <c r="M395" s="1">
        <f t="shared" si="20"/>
        <v>1234.75</v>
      </c>
      <c r="N395" t="str">
        <f t="shared" si="18"/>
        <v>OCCITANIE|81 - Tarn|CA de Castres Mazamet</v>
      </c>
      <c r="O395" s="1" t="str">
        <f t="shared" si="19"/>
        <v>Province</v>
      </c>
    </row>
    <row r="396" spans="1:15" x14ac:dyDescent="0.25">
      <c r="A396" s="1" t="s">
        <v>835</v>
      </c>
      <c r="B396" t="s">
        <v>940</v>
      </c>
      <c r="C396" t="s">
        <v>941</v>
      </c>
      <c r="D396" t="s">
        <v>944</v>
      </c>
      <c r="E396" t="s">
        <v>945</v>
      </c>
      <c r="F396" t="s">
        <v>20</v>
      </c>
      <c r="G396" t="s">
        <v>21</v>
      </c>
      <c r="H396" s="1">
        <v>8290</v>
      </c>
      <c r="I396" s="1">
        <v>12192</v>
      </c>
      <c r="J396" s="1">
        <v>16800</v>
      </c>
      <c r="K396" s="1">
        <f t="shared" si="20"/>
        <v>690.83333333333337</v>
      </c>
      <c r="L396" s="1">
        <f t="shared" si="20"/>
        <v>1016</v>
      </c>
      <c r="M396" s="1">
        <f t="shared" si="20"/>
        <v>1400</v>
      </c>
      <c r="N396" t="str">
        <f t="shared" si="18"/>
        <v>OCCITANIE|81 - Tarn|CA de l'Albigeois (C2A)</v>
      </c>
      <c r="O396" s="1" t="str">
        <f t="shared" si="19"/>
        <v>Province</v>
      </c>
    </row>
    <row r="397" spans="1:15" x14ac:dyDescent="0.25">
      <c r="A397" s="1" t="s">
        <v>835</v>
      </c>
      <c r="B397" t="s">
        <v>940</v>
      </c>
      <c r="C397" t="s">
        <v>941</v>
      </c>
      <c r="D397" t="s">
        <v>946</v>
      </c>
      <c r="E397" t="s">
        <v>947</v>
      </c>
      <c r="F397" t="s">
        <v>20</v>
      </c>
      <c r="G397" t="s">
        <v>21</v>
      </c>
      <c r="H397" s="1">
        <v>8619</v>
      </c>
      <c r="I397" s="1">
        <v>12156</v>
      </c>
      <c r="J397" s="1">
        <v>16800</v>
      </c>
      <c r="K397" s="1">
        <f t="shared" si="20"/>
        <v>718.25</v>
      </c>
      <c r="L397" s="1">
        <f t="shared" si="20"/>
        <v>1013</v>
      </c>
      <c r="M397" s="1">
        <f t="shared" si="20"/>
        <v>1400</v>
      </c>
      <c r="N397" t="str">
        <f t="shared" si="18"/>
        <v>OCCITANIE|81 - Tarn|CA Gaillac-Graulhet</v>
      </c>
      <c r="O397" s="1" t="str">
        <f t="shared" si="19"/>
        <v>Province</v>
      </c>
    </row>
    <row r="398" spans="1:15" x14ac:dyDescent="0.25">
      <c r="A398" s="1" t="s">
        <v>835</v>
      </c>
      <c r="B398" t="s">
        <v>940</v>
      </c>
      <c r="C398" t="s">
        <v>941</v>
      </c>
      <c r="D398" t="s">
        <v>948</v>
      </c>
      <c r="E398" t="s">
        <v>949</v>
      </c>
      <c r="F398" t="s">
        <v>20</v>
      </c>
      <c r="G398" t="s">
        <v>21</v>
      </c>
      <c r="H398" s="1">
        <v>8375</v>
      </c>
      <c r="I398" s="1">
        <v>12192</v>
      </c>
      <c r="J398" s="1">
        <v>16830</v>
      </c>
      <c r="K398" s="1">
        <f t="shared" si="20"/>
        <v>697.91666666666663</v>
      </c>
      <c r="L398" s="1">
        <f t="shared" si="20"/>
        <v>1016</v>
      </c>
      <c r="M398" s="1">
        <f t="shared" si="20"/>
        <v>1402.5</v>
      </c>
      <c r="N398" t="str">
        <f t="shared" si="18"/>
        <v>OCCITANIE|81 - Tarn|CC Carmausin-Ségala</v>
      </c>
      <c r="O398" s="1" t="str">
        <f t="shared" si="19"/>
        <v>Province</v>
      </c>
    </row>
    <row r="399" spans="1:15" x14ac:dyDescent="0.25">
      <c r="A399" s="1" t="s">
        <v>835</v>
      </c>
      <c r="B399" t="s">
        <v>940</v>
      </c>
      <c r="C399" t="s">
        <v>941</v>
      </c>
      <c r="D399" t="s">
        <v>890</v>
      </c>
      <c r="E399" t="s">
        <v>891</v>
      </c>
      <c r="F399" t="s">
        <v>20</v>
      </c>
      <c r="G399" t="s">
        <v>21</v>
      </c>
      <c r="H399" s="1">
        <v>9984</v>
      </c>
      <c r="I399" s="1">
        <v>13440</v>
      </c>
      <c r="J399" s="1">
        <v>17640</v>
      </c>
      <c r="K399" s="1">
        <f t="shared" si="20"/>
        <v>832</v>
      </c>
      <c r="L399" s="1">
        <f t="shared" si="20"/>
        <v>1120</v>
      </c>
      <c r="M399" s="1">
        <f t="shared" si="20"/>
        <v>1470</v>
      </c>
      <c r="N399" t="str">
        <f t="shared" si="18"/>
        <v>OCCITANIE|81 - Tarn|CC Tarn-Agout</v>
      </c>
      <c r="O399" s="1" t="str">
        <f t="shared" si="19"/>
        <v>Province</v>
      </c>
    </row>
    <row r="400" spans="1:15" x14ac:dyDescent="0.25">
      <c r="A400" s="1" t="s">
        <v>835</v>
      </c>
      <c r="B400" t="s">
        <v>950</v>
      </c>
      <c r="C400" t="s">
        <v>951</v>
      </c>
      <c r="D400" t="s">
        <v>952</v>
      </c>
      <c r="E400" t="s">
        <v>953</v>
      </c>
      <c r="F400" t="s">
        <v>20</v>
      </c>
      <c r="G400" t="s">
        <v>21</v>
      </c>
      <c r="H400" s="1">
        <v>8880</v>
      </c>
      <c r="I400" s="1">
        <v>12734</v>
      </c>
      <c r="J400" s="1">
        <v>17689</v>
      </c>
      <c r="K400" s="1">
        <f t="shared" si="20"/>
        <v>740</v>
      </c>
      <c r="L400" s="1">
        <f t="shared" si="20"/>
        <v>1061.1666666666667</v>
      </c>
      <c r="M400" s="1">
        <f t="shared" si="20"/>
        <v>1474.0833333333333</v>
      </c>
      <c r="N400" t="str">
        <f t="shared" si="18"/>
        <v>OCCITANIE|82 - Tarn-et-Garonne|CA Grand Montauban</v>
      </c>
      <c r="O400" s="1" t="str">
        <f t="shared" si="19"/>
        <v>Province</v>
      </c>
    </row>
    <row r="401" spans="1:15" x14ac:dyDescent="0.25">
      <c r="A401" s="1" t="s">
        <v>835</v>
      </c>
      <c r="B401" t="s">
        <v>950</v>
      </c>
      <c r="C401" t="s">
        <v>951</v>
      </c>
      <c r="D401" t="s">
        <v>954</v>
      </c>
      <c r="E401" t="s">
        <v>955</v>
      </c>
      <c r="F401" t="s">
        <v>20</v>
      </c>
      <c r="G401" t="s">
        <v>21</v>
      </c>
      <c r="H401" s="1">
        <v>8391</v>
      </c>
      <c r="I401" s="1">
        <v>12162</v>
      </c>
      <c r="J401" s="1">
        <v>16562</v>
      </c>
      <c r="K401" s="1">
        <f t="shared" si="20"/>
        <v>699.25</v>
      </c>
      <c r="L401" s="1">
        <f t="shared" si="20"/>
        <v>1013.5</v>
      </c>
      <c r="M401" s="1">
        <f t="shared" si="20"/>
        <v>1380.1666666666667</v>
      </c>
      <c r="N401" t="str">
        <f t="shared" si="18"/>
        <v>OCCITANIE|82 - Tarn-et-Garonne|CC Terres des Confluences</v>
      </c>
      <c r="O401" s="1" t="str">
        <f t="shared" si="19"/>
        <v>Province</v>
      </c>
    </row>
    <row r="402" spans="1:15" x14ac:dyDescent="0.25">
      <c r="A402" s="1" t="s">
        <v>956</v>
      </c>
      <c r="B402" t="s">
        <v>957</v>
      </c>
      <c r="C402" t="s">
        <v>958</v>
      </c>
      <c r="D402" t="s">
        <v>959</v>
      </c>
      <c r="E402" t="s">
        <v>960</v>
      </c>
      <c r="F402" t="s">
        <v>20</v>
      </c>
      <c r="G402" t="s">
        <v>21</v>
      </c>
      <c r="H402" s="1">
        <v>12192</v>
      </c>
      <c r="I402" s="1">
        <v>15775</v>
      </c>
      <c r="J402" s="1">
        <v>20040</v>
      </c>
      <c r="K402" s="1">
        <f t="shared" si="20"/>
        <v>1016</v>
      </c>
      <c r="L402" s="1">
        <f t="shared" si="20"/>
        <v>1314.5833333333333</v>
      </c>
      <c r="M402" s="1">
        <f t="shared" si="20"/>
        <v>1670</v>
      </c>
      <c r="N402" t="str">
        <f t="shared" si="18"/>
        <v>PAYS DE LA LOIRE|44 - Loire-Atlantique|CA Clisson Sèvre et Maine Agglo</v>
      </c>
      <c r="O402" s="1" t="str">
        <f t="shared" si="19"/>
        <v>Province</v>
      </c>
    </row>
    <row r="403" spans="1:15" x14ac:dyDescent="0.25">
      <c r="A403" s="1" t="s">
        <v>956</v>
      </c>
      <c r="B403" t="s">
        <v>957</v>
      </c>
      <c r="C403" t="s">
        <v>958</v>
      </c>
      <c r="D403" t="s">
        <v>252</v>
      </c>
      <c r="E403" t="s">
        <v>253</v>
      </c>
      <c r="F403" t="s">
        <v>20</v>
      </c>
      <c r="G403" t="s">
        <v>21</v>
      </c>
      <c r="H403" s="1">
        <v>12048</v>
      </c>
      <c r="I403" s="1">
        <v>16216</v>
      </c>
      <c r="J403" s="1">
        <v>20132</v>
      </c>
      <c r="K403" s="1">
        <f t="shared" si="20"/>
        <v>1004</v>
      </c>
      <c r="L403" s="1">
        <f t="shared" si="20"/>
        <v>1351.3333333333333</v>
      </c>
      <c r="M403" s="1">
        <f t="shared" si="20"/>
        <v>1677.6666666666667</v>
      </c>
      <c r="N403" t="str">
        <f t="shared" si="18"/>
        <v>PAYS DE LA LOIRE|44 - Loire-Atlantique|CA de la Presqu'île de Guérande Atlantique (Cap Atlantique)</v>
      </c>
      <c r="O403" s="1" t="str">
        <f t="shared" si="19"/>
        <v>Province</v>
      </c>
    </row>
    <row r="404" spans="1:15" x14ac:dyDescent="0.25">
      <c r="A404" s="1" t="s">
        <v>956</v>
      </c>
      <c r="B404" t="s">
        <v>957</v>
      </c>
      <c r="C404" t="s">
        <v>958</v>
      </c>
      <c r="D404" t="s">
        <v>961</v>
      </c>
      <c r="E404" t="s">
        <v>962</v>
      </c>
      <c r="F404" t="s">
        <v>20</v>
      </c>
      <c r="G404" t="s">
        <v>21</v>
      </c>
      <c r="H404" s="1">
        <v>11135</v>
      </c>
      <c r="I404" s="1">
        <v>15208</v>
      </c>
      <c r="J404" s="1">
        <v>20077</v>
      </c>
      <c r="K404" s="1">
        <f t="shared" si="20"/>
        <v>927.91666666666663</v>
      </c>
      <c r="L404" s="1">
        <f t="shared" si="20"/>
        <v>1267.3333333333333</v>
      </c>
      <c r="M404" s="1">
        <f t="shared" si="20"/>
        <v>1673.0833333333333</v>
      </c>
      <c r="N404" t="str">
        <f t="shared" si="18"/>
        <v>PAYS DE LA LOIRE|44 - Loire-Atlantique|CA de la Région Nazairienne et de l'Estuaire (CARENE)</v>
      </c>
      <c r="O404" s="1" t="str">
        <f t="shared" si="19"/>
        <v>Province</v>
      </c>
    </row>
    <row r="405" spans="1:15" x14ac:dyDescent="0.25">
      <c r="A405" s="1" t="s">
        <v>956</v>
      </c>
      <c r="B405" t="s">
        <v>957</v>
      </c>
      <c r="C405" t="s">
        <v>958</v>
      </c>
      <c r="D405" t="s">
        <v>963</v>
      </c>
      <c r="E405" t="s">
        <v>964</v>
      </c>
      <c r="F405" t="s">
        <v>20</v>
      </c>
      <c r="G405" t="s">
        <v>21</v>
      </c>
      <c r="H405" s="1">
        <v>11679</v>
      </c>
      <c r="I405" s="1">
        <v>14927</v>
      </c>
      <c r="J405" s="1">
        <v>19538</v>
      </c>
      <c r="K405" s="1">
        <f t="shared" si="20"/>
        <v>973.25</v>
      </c>
      <c r="L405" s="1">
        <f t="shared" si="20"/>
        <v>1243.9166666666667</v>
      </c>
      <c r="M405" s="1">
        <f t="shared" si="20"/>
        <v>1628.1666666666667</v>
      </c>
      <c r="N405" t="str">
        <f t="shared" si="18"/>
        <v>PAYS DE LA LOIRE|44 - Loire-Atlantique|CA Pornic Agglo Pays de Retz</v>
      </c>
      <c r="O405" s="1" t="str">
        <f t="shared" si="19"/>
        <v>Province</v>
      </c>
    </row>
    <row r="406" spans="1:15" x14ac:dyDescent="0.25">
      <c r="A406" s="1" t="s">
        <v>956</v>
      </c>
      <c r="B406" t="s">
        <v>957</v>
      </c>
      <c r="C406" t="s">
        <v>958</v>
      </c>
      <c r="D406" t="s">
        <v>244</v>
      </c>
      <c r="E406" t="s">
        <v>245</v>
      </c>
      <c r="F406" t="s">
        <v>20</v>
      </c>
      <c r="G406" t="s">
        <v>21</v>
      </c>
      <c r="H406" s="1">
        <v>9756</v>
      </c>
      <c r="I406" s="1">
        <v>12388</v>
      </c>
      <c r="J406" s="1">
        <v>16680</v>
      </c>
      <c r="K406" s="1">
        <f t="shared" si="20"/>
        <v>813</v>
      </c>
      <c r="L406" s="1">
        <f t="shared" si="20"/>
        <v>1032.3333333333333</v>
      </c>
      <c r="M406" s="1">
        <f t="shared" si="20"/>
        <v>1390</v>
      </c>
      <c r="N406" t="str">
        <f t="shared" si="18"/>
        <v>PAYS DE LA LOIRE|44 - Loire-Atlantique|CA Redon Agglomération</v>
      </c>
      <c r="O406" s="1" t="str">
        <f t="shared" si="19"/>
        <v>Province</v>
      </c>
    </row>
    <row r="407" spans="1:15" x14ac:dyDescent="0.25">
      <c r="A407" s="1" t="s">
        <v>956</v>
      </c>
      <c r="B407" t="s">
        <v>957</v>
      </c>
      <c r="C407" t="s">
        <v>958</v>
      </c>
      <c r="D407" t="s">
        <v>965</v>
      </c>
      <c r="E407" t="s">
        <v>966</v>
      </c>
      <c r="F407" t="s">
        <v>20</v>
      </c>
      <c r="G407" t="s">
        <v>21</v>
      </c>
      <c r="H407" s="1">
        <v>10740</v>
      </c>
      <c r="I407" s="1">
        <v>13529</v>
      </c>
      <c r="J407" s="1">
        <v>17573</v>
      </c>
      <c r="K407" s="1">
        <f t="shared" si="20"/>
        <v>895</v>
      </c>
      <c r="L407" s="1">
        <f t="shared" si="20"/>
        <v>1127.4166666666667</v>
      </c>
      <c r="M407" s="1">
        <f t="shared" si="20"/>
        <v>1464.4166666666667</v>
      </c>
      <c r="N407" t="str">
        <f t="shared" si="18"/>
        <v>PAYS DE LA LOIRE|44 - Loire-Atlantique|CC Châteaubriant-Derval</v>
      </c>
      <c r="O407" s="1" t="str">
        <f t="shared" si="19"/>
        <v>Province</v>
      </c>
    </row>
    <row r="408" spans="1:15" x14ac:dyDescent="0.25">
      <c r="A408" s="1" t="s">
        <v>956</v>
      </c>
      <c r="B408" t="s">
        <v>957</v>
      </c>
      <c r="C408" t="s">
        <v>958</v>
      </c>
      <c r="D408" t="s">
        <v>967</v>
      </c>
      <c r="E408" t="s">
        <v>968</v>
      </c>
      <c r="F408" t="s">
        <v>20</v>
      </c>
      <c r="G408" t="s">
        <v>21</v>
      </c>
      <c r="H408" s="1">
        <v>12180</v>
      </c>
      <c r="I408" s="1">
        <v>16197</v>
      </c>
      <c r="J408" s="1">
        <v>20052</v>
      </c>
      <c r="K408" s="1">
        <f t="shared" si="20"/>
        <v>1015</v>
      </c>
      <c r="L408" s="1">
        <f t="shared" si="20"/>
        <v>1349.75</v>
      </c>
      <c r="M408" s="1">
        <f t="shared" si="20"/>
        <v>1671</v>
      </c>
      <c r="N408" t="str">
        <f t="shared" si="18"/>
        <v>PAYS DE LA LOIRE|44 - Loire-Atlantique|CC d'Erdre et Gesvres</v>
      </c>
      <c r="O408" s="1" t="str">
        <f t="shared" si="19"/>
        <v>Province</v>
      </c>
    </row>
    <row r="409" spans="1:15" x14ac:dyDescent="0.25">
      <c r="A409" s="1" t="s">
        <v>956</v>
      </c>
      <c r="B409" t="s">
        <v>957</v>
      </c>
      <c r="C409" t="s">
        <v>958</v>
      </c>
      <c r="D409" t="s">
        <v>969</v>
      </c>
      <c r="E409" t="s">
        <v>970</v>
      </c>
      <c r="F409" t="s">
        <v>20</v>
      </c>
      <c r="G409" t="s">
        <v>21</v>
      </c>
      <c r="H409" s="1">
        <v>11311</v>
      </c>
      <c r="I409" s="1">
        <v>14406</v>
      </c>
      <c r="J409" s="1">
        <v>19154</v>
      </c>
      <c r="K409" s="1">
        <f t="shared" si="20"/>
        <v>942.58333333333337</v>
      </c>
      <c r="L409" s="1">
        <f t="shared" si="20"/>
        <v>1200.5</v>
      </c>
      <c r="M409" s="1">
        <f t="shared" si="20"/>
        <v>1596.1666666666667</v>
      </c>
      <c r="N409" t="str">
        <f t="shared" si="18"/>
        <v>PAYS DE LA LOIRE|44 - Loire-Atlantique|CC du Pays d'Ancenis</v>
      </c>
      <c r="O409" s="1" t="str">
        <f t="shared" si="19"/>
        <v>Province</v>
      </c>
    </row>
    <row r="410" spans="1:15" x14ac:dyDescent="0.25">
      <c r="A410" s="1" t="s">
        <v>956</v>
      </c>
      <c r="B410" t="s">
        <v>957</v>
      </c>
      <c r="C410" t="s">
        <v>958</v>
      </c>
      <c r="D410" t="s">
        <v>971</v>
      </c>
      <c r="E410" t="s">
        <v>972</v>
      </c>
      <c r="F410" t="s">
        <v>20</v>
      </c>
      <c r="G410" t="s">
        <v>21</v>
      </c>
      <c r="H410" s="1">
        <v>11773</v>
      </c>
      <c r="I410" s="1">
        <v>15591</v>
      </c>
      <c r="J410" s="1">
        <v>19779</v>
      </c>
      <c r="K410" s="1">
        <f t="shared" si="20"/>
        <v>981.08333333333337</v>
      </c>
      <c r="L410" s="1">
        <f t="shared" si="20"/>
        <v>1299.25</v>
      </c>
      <c r="M410" s="1">
        <f t="shared" si="20"/>
        <v>1648.25</v>
      </c>
      <c r="N410" t="str">
        <f t="shared" si="18"/>
        <v>PAYS DE LA LOIRE|44 - Loire-Atlantique|CC du Pays de Pontchâteau St-Gildas-des-Bois</v>
      </c>
      <c r="O410" s="1" t="str">
        <f t="shared" si="19"/>
        <v>Province</v>
      </c>
    </row>
    <row r="411" spans="1:15" x14ac:dyDescent="0.25">
      <c r="A411" s="1" t="s">
        <v>956</v>
      </c>
      <c r="B411" t="s">
        <v>957</v>
      </c>
      <c r="C411" t="s">
        <v>958</v>
      </c>
      <c r="D411" t="s">
        <v>973</v>
      </c>
      <c r="E411" t="s">
        <v>974</v>
      </c>
      <c r="F411" t="s">
        <v>20</v>
      </c>
      <c r="G411" t="s">
        <v>21</v>
      </c>
      <c r="H411" s="1">
        <v>12081</v>
      </c>
      <c r="I411" s="1">
        <v>15721</v>
      </c>
      <c r="J411" s="1">
        <v>19929</v>
      </c>
      <c r="K411" s="1">
        <f t="shared" si="20"/>
        <v>1006.75</v>
      </c>
      <c r="L411" s="1">
        <f t="shared" si="20"/>
        <v>1310.0833333333333</v>
      </c>
      <c r="M411" s="1">
        <f t="shared" si="20"/>
        <v>1660.75</v>
      </c>
      <c r="N411" t="str">
        <f t="shared" si="18"/>
        <v>PAYS DE LA LOIRE|44 - Loire-Atlantique|CC du Sud Estuaire</v>
      </c>
      <c r="O411" s="1" t="str">
        <f t="shared" si="19"/>
        <v>Province</v>
      </c>
    </row>
    <row r="412" spans="1:15" x14ac:dyDescent="0.25">
      <c r="A412" s="1" t="s">
        <v>956</v>
      </c>
      <c r="B412" t="s">
        <v>957</v>
      </c>
      <c r="C412" t="s">
        <v>958</v>
      </c>
      <c r="D412" t="s">
        <v>975</v>
      </c>
      <c r="E412" t="s">
        <v>976</v>
      </c>
      <c r="F412" t="s">
        <v>20</v>
      </c>
      <c r="G412" t="s">
        <v>21</v>
      </c>
      <c r="H412" s="1">
        <v>10900</v>
      </c>
      <c r="I412" s="1">
        <v>15138</v>
      </c>
      <c r="J412" s="1">
        <v>19980</v>
      </c>
      <c r="K412" s="1">
        <f t="shared" si="20"/>
        <v>908.33333333333337</v>
      </c>
      <c r="L412" s="1">
        <f t="shared" si="20"/>
        <v>1261.5</v>
      </c>
      <c r="M412" s="1">
        <f t="shared" si="20"/>
        <v>1665</v>
      </c>
      <c r="N412" t="str">
        <f t="shared" si="18"/>
        <v>PAYS DE LA LOIRE|44 - Loire-Atlantique|Nantes Métropole</v>
      </c>
      <c r="O412" s="1" t="str">
        <f t="shared" si="19"/>
        <v>Province</v>
      </c>
    </row>
    <row r="413" spans="1:15" x14ac:dyDescent="0.25">
      <c r="A413" s="1" t="s">
        <v>956</v>
      </c>
      <c r="B413" t="s">
        <v>977</v>
      </c>
      <c r="C413" t="s">
        <v>978</v>
      </c>
      <c r="D413" t="s">
        <v>979</v>
      </c>
      <c r="E413" t="s">
        <v>980</v>
      </c>
      <c r="F413" t="s">
        <v>20</v>
      </c>
      <c r="G413" t="s">
        <v>21</v>
      </c>
      <c r="H413" s="1">
        <v>11180</v>
      </c>
      <c r="I413" s="1">
        <v>15295</v>
      </c>
      <c r="J413" s="1">
        <v>19788</v>
      </c>
      <c r="K413" s="1">
        <f t="shared" si="20"/>
        <v>931.66666666666663</v>
      </c>
      <c r="L413" s="1">
        <f t="shared" si="20"/>
        <v>1274.5833333333333</v>
      </c>
      <c r="M413" s="1">
        <f t="shared" si="20"/>
        <v>1649</v>
      </c>
      <c r="N413" t="str">
        <f t="shared" si="18"/>
        <v>PAYS DE LA LOIRE|49 - Maine-et-Loire|CA Cholet Agglomération</v>
      </c>
      <c r="O413" s="1" t="str">
        <f t="shared" si="19"/>
        <v>Province</v>
      </c>
    </row>
    <row r="414" spans="1:15" x14ac:dyDescent="0.25">
      <c r="A414" s="1" t="s">
        <v>956</v>
      </c>
      <c r="B414" t="s">
        <v>977</v>
      </c>
      <c r="C414" t="s">
        <v>978</v>
      </c>
      <c r="D414" t="s">
        <v>981</v>
      </c>
      <c r="E414" t="s">
        <v>982</v>
      </c>
      <c r="F414" t="s">
        <v>20</v>
      </c>
      <c r="G414" t="s">
        <v>21</v>
      </c>
      <c r="H414" s="1">
        <v>11767</v>
      </c>
      <c r="I414" s="1">
        <v>15320</v>
      </c>
      <c r="J414" s="1">
        <v>19503</v>
      </c>
      <c r="K414" s="1">
        <f t="shared" si="20"/>
        <v>980.58333333333337</v>
      </c>
      <c r="L414" s="1">
        <f t="shared" si="20"/>
        <v>1276.6666666666667</v>
      </c>
      <c r="M414" s="1">
        <f t="shared" si="20"/>
        <v>1625.25</v>
      </c>
      <c r="N414" t="str">
        <f t="shared" si="18"/>
        <v>PAYS DE LA LOIRE|49 - Maine-et-Loire|CA Mauges Communauté</v>
      </c>
      <c r="O414" s="1" t="str">
        <f t="shared" si="19"/>
        <v>Province</v>
      </c>
    </row>
    <row r="415" spans="1:15" x14ac:dyDescent="0.25">
      <c r="A415" s="1" t="s">
        <v>956</v>
      </c>
      <c r="B415" t="s">
        <v>977</v>
      </c>
      <c r="C415" t="s">
        <v>978</v>
      </c>
      <c r="D415" t="s">
        <v>983</v>
      </c>
      <c r="E415" t="s">
        <v>984</v>
      </c>
      <c r="F415" t="s">
        <v>20</v>
      </c>
      <c r="G415" t="s">
        <v>21</v>
      </c>
      <c r="H415" s="1">
        <v>9967</v>
      </c>
      <c r="I415" s="1">
        <v>13904</v>
      </c>
      <c r="J415" s="1">
        <v>18463</v>
      </c>
      <c r="K415" s="1">
        <f t="shared" si="20"/>
        <v>830.58333333333337</v>
      </c>
      <c r="L415" s="1">
        <f t="shared" si="20"/>
        <v>1158.6666666666667</v>
      </c>
      <c r="M415" s="1">
        <f t="shared" si="20"/>
        <v>1538.5833333333333</v>
      </c>
      <c r="N415" t="str">
        <f t="shared" si="18"/>
        <v>PAYS DE LA LOIRE|49 - Maine-et-Loire|CA Saumur Val de Loire</v>
      </c>
      <c r="O415" s="1" t="str">
        <f t="shared" si="19"/>
        <v>Province</v>
      </c>
    </row>
    <row r="416" spans="1:15" x14ac:dyDescent="0.25">
      <c r="A416" s="1" t="s">
        <v>956</v>
      </c>
      <c r="B416" t="s">
        <v>977</v>
      </c>
      <c r="C416" t="s">
        <v>978</v>
      </c>
      <c r="D416" t="s">
        <v>985</v>
      </c>
      <c r="E416" t="s">
        <v>986</v>
      </c>
      <c r="F416" t="s">
        <v>20</v>
      </c>
      <c r="G416" t="s">
        <v>21</v>
      </c>
      <c r="H416" s="1">
        <v>10745</v>
      </c>
      <c r="I416" s="1">
        <v>13956</v>
      </c>
      <c r="J416" s="1">
        <v>18600</v>
      </c>
      <c r="K416" s="1">
        <f t="shared" si="20"/>
        <v>895.41666666666663</v>
      </c>
      <c r="L416" s="1">
        <f t="shared" si="20"/>
        <v>1163</v>
      </c>
      <c r="M416" s="1">
        <f t="shared" si="20"/>
        <v>1550</v>
      </c>
      <c r="N416" t="str">
        <f t="shared" si="18"/>
        <v>PAYS DE LA LOIRE|49 - Maine-et-Loire|CC Anjou Bleu Communauté</v>
      </c>
      <c r="O416" s="1" t="str">
        <f t="shared" si="19"/>
        <v>Province</v>
      </c>
    </row>
    <row r="417" spans="1:15" x14ac:dyDescent="0.25">
      <c r="A417" s="1" t="s">
        <v>956</v>
      </c>
      <c r="B417" t="s">
        <v>977</v>
      </c>
      <c r="C417" t="s">
        <v>978</v>
      </c>
      <c r="D417" t="s">
        <v>987</v>
      </c>
      <c r="E417" t="s">
        <v>988</v>
      </c>
      <c r="F417" t="s">
        <v>20</v>
      </c>
      <c r="G417" t="s">
        <v>21</v>
      </c>
      <c r="H417" s="1">
        <v>11183</v>
      </c>
      <c r="I417" s="1">
        <v>15150</v>
      </c>
      <c r="J417" s="1">
        <v>19563</v>
      </c>
      <c r="K417" s="1">
        <f t="shared" si="20"/>
        <v>931.91666666666663</v>
      </c>
      <c r="L417" s="1">
        <f t="shared" si="20"/>
        <v>1262.5</v>
      </c>
      <c r="M417" s="1">
        <f t="shared" si="20"/>
        <v>1630.25</v>
      </c>
      <c r="N417" t="str">
        <f t="shared" si="18"/>
        <v>PAYS DE LA LOIRE|49 - Maine-et-Loire|CC Baugeois Vallée</v>
      </c>
      <c r="O417" s="1" t="str">
        <f t="shared" si="19"/>
        <v>Province</v>
      </c>
    </row>
    <row r="418" spans="1:15" x14ac:dyDescent="0.25">
      <c r="A418" s="1" t="s">
        <v>956</v>
      </c>
      <c r="B418" t="s">
        <v>977</v>
      </c>
      <c r="C418" t="s">
        <v>978</v>
      </c>
      <c r="D418" t="s">
        <v>969</v>
      </c>
      <c r="E418" t="s">
        <v>970</v>
      </c>
      <c r="F418" t="s">
        <v>20</v>
      </c>
      <c r="G418" t="s">
        <v>21</v>
      </c>
      <c r="H418" s="1">
        <v>11311</v>
      </c>
      <c r="I418" s="1">
        <v>14406</v>
      </c>
      <c r="J418" s="1">
        <v>19154</v>
      </c>
      <c r="K418" s="1">
        <f t="shared" si="20"/>
        <v>942.58333333333337</v>
      </c>
      <c r="L418" s="1">
        <f t="shared" si="20"/>
        <v>1200.5</v>
      </c>
      <c r="M418" s="1">
        <f t="shared" si="20"/>
        <v>1596.1666666666667</v>
      </c>
      <c r="N418" t="str">
        <f t="shared" si="18"/>
        <v>PAYS DE LA LOIRE|49 - Maine-et-Loire|CC du Pays d'Ancenis</v>
      </c>
      <c r="O418" s="1" t="str">
        <f t="shared" si="19"/>
        <v>Province</v>
      </c>
    </row>
    <row r="419" spans="1:15" x14ac:dyDescent="0.25">
      <c r="A419" s="1" t="s">
        <v>956</v>
      </c>
      <c r="B419" t="s">
        <v>977</v>
      </c>
      <c r="C419" t="s">
        <v>978</v>
      </c>
      <c r="D419" t="s">
        <v>989</v>
      </c>
      <c r="E419" t="s">
        <v>990</v>
      </c>
      <c r="F419" t="s">
        <v>20</v>
      </c>
      <c r="G419" t="s">
        <v>21</v>
      </c>
      <c r="H419" s="1">
        <v>12297</v>
      </c>
      <c r="I419" s="1">
        <v>16667</v>
      </c>
      <c r="J419" s="1">
        <v>21000</v>
      </c>
      <c r="K419" s="1">
        <f t="shared" si="20"/>
        <v>1024.75</v>
      </c>
      <c r="L419" s="1">
        <f t="shared" si="20"/>
        <v>1388.9166666666667</v>
      </c>
      <c r="M419" s="1">
        <f t="shared" si="20"/>
        <v>1750</v>
      </c>
      <c r="N419" t="str">
        <f t="shared" si="18"/>
        <v>PAYS DE LA LOIRE|49 - Maine-et-Loire|CC Loire Layon Aubance</v>
      </c>
      <c r="O419" s="1" t="str">
        <f t="shared" si="19"/>
        <v>Province</v>
      </c>
    </row>
    <row r="420" spans="1:15" x14ac:dyDescent="0.25">
      <c r="A420" s="1" t="s">
        <v>956</v>
      </c>
      <c r="B420" t="s">
        <v>977</v>
      </c>
      <c r="C420" t="s">
        <v>978</v>
      </c>
      <c r="D420" t="s">
        <v>991</v>
      </c>
      <c r="E420" t="s">
        <v>992</v>
      </c>
      <c r="F420" t="s">
        <v>20</v>
      </c>
      <c r="G420" t="s">
        <v>21</v>
      </c>
      <c r="H420" s="1">
        <v>10800</v>
      </c>
      <c r="I420" s="1">
        <v>15137</v>
      </c>
      <c r="J420" s="1">
        <v>19884</v>
      </c>
      <c r="K420" s="1">
        <f t="shared" si="20"/>
        <v>900</v>
      </c>
      <c r="L420" s="1">
        <f t="shared" si="20"/>
        <v>1261.4166666666667</v>
      </c>
      <c r="M420" s="1">
        <f t="shared" si="20"/>
        <v>1657</v>
      </c>
      <c r="N420" t="str">
        <f t="shared" si="18"/>
        <v>PAYS DE LA LOIRE|49 - Maine-et-Loire|CU Angers Loire Métropole</v>
      </c>
      <c r="O420" s="1" t="str">
        <f t="shared" si="19"/>
        <v>Province</v>
      </c>
    </row>
    <row r="421" spans="1:15" x14ac:dyDescent="0.25">
      <c r="A421" s="1" t="s">
        <v>956</v>
      </c>
      <c r="B421" t="s">
        <v>993</v>
      </c>
      <c r="C421" t="s">
        <v>994</v>
      </c>
      <c r="D421" t="s">
        <v>995</v>
      </c>
      <c r="E421" t="s">
        <v>996</v>
      </c>
      <c r="F421" t="s">
        <v>20</v>
      </c>
      <c r="G421" t="s">
        <v>21</v>
      </c>
      <c r="H421" s="1">
        <v>10719</v>
      </c>
      <c r="I421" s="1">
        <v>14580</v>
      </c>
      <c r="J421" s="1">
        <v>19326</v>
      </c>
      <c r="K421" s="1">
        <f t="shared" si="20"/>
        <v>893.25</v>
      </c>
      <c r="L421" s="1">
        <f t="shared" si="20"/>
        <v>1215</v>
      </c>
      <c r="M421" s="1">
        <f t="shared" si="20"/>
        <v>1610.5</v>
      </c>
      <c r="N421" t="str">
        <f t="shared" si="18"/>
        <v>PAYS DE LA LOIRE|53 - Mayenne|CA Laval Agglomération</v>
      </c>
      <c r="O421" s="1" t="str">
        <f t="shared" si="19"/>
        <v>Province</v>
      </c>
    </row>
    <row r="422" spans="1:15" x14ac:dyDescent="0.25">
      <c r="A422" s="1" t="s">
        <v>956</v>
      </c>
      <c r="B422" t="s">
        <v>993</v>
      </c>
      <c r="C422" t="s">
        <v>994</v>
      </c>
      <c r="D422" t="s">
        <v>997</v>
      </c>
      <c r="E422" t="s">
        <v>998</v>
      </c>
      <c r="F422" t="s">
        <v>20</v>
      </c>
      <c r="G422" t="s">
        <v>21</v>
      </c>
      <c r="H422" s="1">
        <v>10217</v>
      </c>
      <c r="I422" s="1">
        <v>14031</v>
      </c>
      <c r="J422" s="1">
        <v>18222</v>
      </c>
      <c r="K422" s="1">
        <f t="shared" si="20"/>
        <v>851.41666666666663</v>
      </c>
      <c r="L422" s="1">
        <f t="shared" si="20"/>
        <v>1169.25</v>
      </c>
      <c r="M422" s="1">
        <f t="shared" si="20"/>
        <v>1518.5</v>
      </c>
      <c r="N422" t="str">
        <f t="shared" si="18"/>
        <v>PAYS DE LA LOIRE|53 - Mayenne|CC du Pays de Château-Gontier</v>
      </c>
      <c r="O422" s="1" t="str">
        <f t="shared" si="19"/>
        <v>Province</v>
      </c>
    </row>
    <row r="423" spans="1:15" x14ac:dyDescent="0.25">
      <c r="A423" s="1" t="s">
        <v>956</v>
      </c>
      <c r="B423" t="s">
        <v>993</v>
      </c>
      <c r="C423" t="s">
        <v>994</v>
      </c>
      <c r="D423" t="s">
        <v>999</v>
      </c>
      <c r="E423" t="s">
        <v>1000</v>
      </c>
      <c r="F423" t="s">
        <v>20</v>
      </c>
      <c r="G423" t="s">
        <v>21</v>
      </c>
      <c r="H423" s="1">
        <v>9940</v>
      </c>
      <c r="I423" s="1">
        <v>13791</v>
      </c>
      <c r="J423" s="1">
        <v>18450</v>
      </c>
      <c r="K423" s="1">
        <f t="shared" si="20"/>
        <v>828.33333333333337</v>
      </c>
      <c r="L423" s="1">
        <f t="shared" si="20"/>
        <v>1149.25</v>
      </c>
      <c r="M423" s="1">
        <f t="shared" si="20"/>
        <v>1537.5</v>
      </c>
      <c r="N423" t="str">
        <f t="shared" si="18"/>
        <v>PAYS DE LA LOIRE|53 - Mayenne|CC du Pays Sabolien</v>
      </c>
      <c r="O423" s="1" t="str">
        <f t="shared" si="19"/>
        <v>Province</v>
      </c>
    </row>
    <row r="424" spans="1:15" x14ac:dyDescent="0.25">
      <c r="A424" s="1" t="s">
        <v>956</v>
      </c>
      <c r="B424" t="s">
        <v>993</v>
      </c>
      <c r="C424" t="s">
        <v>994</v>
      </c>
      <c r="D424" t="s">
        <v>1001</v>
      </c>
      <c r="E424" t="s">
        <v>1002</v>
      </c>
      <c r="F424" t="s">
        <v>20</v>
      </c>
      <c r="G424" t="s">
        <v>21</v>
      </c>
      <c r="H424" s="1">
        <v>9600</v>
      </c>
      <c r="I424" s="1">
        <v>13122</v>
      </c>
      <c r="J424" s="1">
        <v>18074</v>
      </c>
      <c r="K424" s="1">
        <f t="shared" si="20"/>
        <v>800</v>
      </c>
      <c r="L424" s="1">
        <f t="shared" si="20"/>
        <v>1093.5</v>
      </c>
      <c r="M424" s="1">
        <f t="shared" si="20"/>
        <v>1506.1666666666667</v>
      </c>
      <c r="N424" t="str">
        <f t="shared" si="18"/>
        <v>PAYS DE LA LOIRE|53 - Mayenne|CC Mayenne Communauté</v>
      </c>
      <c r="O424" s="1" t="str">
        <f t="shared" si="19"/>
        <v>Province</v>
      </c>
    </row>
    <row r="425" spans="1:15" x14ac:dyDescent="0.25">
      <c r="A425" s="1" t="s">
        <v>956</v>
      </c>
      <c r="B425" t="s">
        <v>1003</v>
      </c>
      <c r="C425" t="s">
        <v>1004</v>
      </c>
      <c r="D425" t="s">
        <v>999</v>
      </c>
      <c r="E425" t="s">
        <v>1000</v>
      </c>
      <c r="F425" t="s">
        <v>20</v>
      </c>
      <c r="G425" t="s">
        <v>21</v>
      </c>
      <c r="H425" s="1">
        <v>9940</v>
      </c>
      <c r="I425" s="1">
        <v>13791</v>
      </c>
      <c r="J425" s="1">
        <v>18450</v>
      </c>
      <c r="K425" s="1">
        <f t="shared" si="20"/>
        <v>828.33333333333337</v>
      </c>
      <c r="L425" s="1">
        <f t="shared" si="20"/>
        <v>1149.25</v>
      </c>
      <c r="M425" s="1">
        <f t="shared" si="20"/>
        <v>1537.5</v>
      </c>
      <c r="N425" t="str">
        <f t="shared" si="18"/>
        <v>PAYS DE LA LOIRE|72 - Sarthe|CC du Pays Sabolien</v>
      </c>
      <c r="O425" s="1" t="str">
        <f t="shared" si="19"/>
        <v>Province</v>
      </c>
    </row>
    <row r="426" spans="1:15" x14ac:dyDescent="0.25">
      <c r="A426" s="1" t="s">
        <v>956</v>
      </c>
      <c r="B426" t="s">
        <v>1003</v>
      </c>
      <c r="C426" t="s">
        <v>1004</v>
      </c>
      <c r="D426" t="s">
        <v>720</v>
      </c>
      <c r="E426" t="s">
        <v>721</v>
      </c>
      <c r="F426" t="s">
        <v>20</v>
      </c>
      <c r="G426" t="s">
        <v>21</v>
      </c>
      <c r="H426" s="1">
        <v>8400</v>
      </c>
      <c r="I426" s="1">
        <v>12614</v>
      </c>
      <c r="J426" s="1">
        <v>18234</v>
      </c>
      <c r="K426" s="1">
        <f t="shared" si="20"/>
        <v>700</v>
      </c>
      <c r="L426" s="1">
        <f t="shared" si="20"/>
        <v>1051.1666666666667</v>
      </c>
      <c r="M426" s="1">
        <f t="shared" si="20"/>
        <v>1519.5</v>
      </c>
      <c r="N426" t="str">
        <f t="shared" si="18"/>
        <v>PAYS DE LA LOIRE|72 - Sarthe|CU d'Alençon</v>
      </c>
      <c r="O426" s="1" t="str">
        <f t="shared" si="19"/>
        <v>Province</v>
      </c>
    </row>
    <row r="427" spans="1:15" x14ac:dyDescent="0.25">
      <c r="A427" s="1" t="s">
        <v>956</v>
      </c>
      <c r="B427" t="s">
        <v>1003</v>
      </c>
      <c r="C427" t="s">
        <v>1004</v>
      </c>
      <c r="D427" t="s">
        <v>1005</v>
      </c>
      <c r="E427" t="s">
        <v>1006</v>
      </c>
      <c r="F427" t="s">
        <v>20</v>
      </c>
      <c r="G427" t="s">
        <v>21</v>
      </c>
      <c r="H427" s="1">
        <v>9432</v>
      </c>
      <c r="I427" s="1">
        <v>13296</v>
      </c>
      <c r="J427" s="1">
        <v>18207</v>
      </c>
      <c r="K427" s="1">
        <f t="shared" si="20"/>
        <v>786</v>
      </c>
      <c r="L427" s="1">
        <f t="shared" si="20"/>
        <v>1108</v>
      </c>
      <c r="M427" s="1">
        <f t="shared" si="20"/>
        <v>1517.25</v>
      </c>
      <c r="N427" t="str">
        <f t="shared" si="18"/>
        <v>PAYS DE LA LOIRE|72 - Sarthe|CU Le Mans Métropole</v>
      </c>
      <c r="O427" s="1" t="str">
        <f t="shared" si="19"/>
        <v>Province</v>
      </c>
    </row>
    <row r="428" spans="1:15" x14ac:dyDescent="0.25">
      <c r="A428" s="1" t="s">
        <v>956</v>
      </c>
      <c r="B428" t="s">
        <v>1007</v>
      </c>
      <c r="C428" t="s">
        <v>1008</v>
      </c>
      <c r="D428" t="s">
        <v>1009</v>
      </c>
      <c r="E428" t="s">
        <v>1010</v>
      </c>
      <c r="F428" t="s">
        <v>20</v>
      </c>
      <c r="G428" t="s">
        <v>21</v>
      </c>
      <c r="H428" s="1">
        <v>11892</v>
      </c>
      <c r="I428" s="1">
        <v>15576</v>
      </c>
      <c r="J428" s="1">
        <v>19656</v>
      </c>
      <c r="K428" s="1">
        <f t="shared" si="20"/>
        <v>991</v>
      </c>
      <c r="L428" s="1">
        <f t="shared" si="20"/>
        <v>1298</v>
      </c>
      <c r="M428" s="1">
        <f t="shared" si="20"/>
        <v>1638</v>
      </c>
      <c r="N428" t="str">
        <f t="shared" si="18"/>
        <v>PAYS DE LA LOIRE|85 - Vendée|CA du Pays de Saint-Gilles-Croix-de-Vie</v>
      </c>
      <c r="O428" s="1" t="str">
        <f t="shared" si="19"/>
        <v>Province</v>
      </c>
    </row>
    <row r="429" spans="1:15" x14ac:dyDescent="0.25">
      <c r="A429" s="1" t="s">
        <v>956</v>
      </c>
      <c r="B429" t="s">
        <v>1007</v>
      </c>
      <c r="C429" t="s">
        <v>1008</v>
      </c>
      <c r="D429" t="s">
        <v>1011</v>
      </c>
      <c r="E429" t="s">
        <v>1012</v>
      </c>
      <c r="F429" t="s">
        <v>20</v>
      </c>
      <c r="G429" t="s">
        <v>21</v>
      </c>
      <c r="H429" s="1">
        <v>10668</v>
      </c>
      <c r="I429" s="1">
        <v>14400</v>
      </c>
      <c r="J429" s="1">
        <v>19200</v>
      </c>
      <c r="K429" s="1">
        <f t="shared" si="20"/>
        <v>889</v>
      </c>
      <c r="L429" s="1">
        <f t="shared" si="20"/>
        <v>1200</v>
      </c>
      <c r="M429" s="1">
        <f t="shared" si="20"/>
        <v>1600</v>
      </c>
      <c r="N429" t="str">
        <f t="shared" si="18"/>
        <v>PAYS DE LA LOIRE|85 - Vendée|CA La Roche-sur-Yon - Agglomération</v>
      </c>
      <c r="O429" s="1" t="str">
        <f t="shared" si="19"/>
        <v>Province</v>
      </c>
    </row>
    <row r="430" spans="1:15" x14ac:dyDescent="0.25">
      <c r="A430" s="1" t="s">
        <v>956</v>
      </c>
      <c r="B430" t="s">
        <v>1007</v>
      </c>
      <c r="C430" t="s">
        <v>1008</v>
      </c>
      <c r="D430" t="s">
        <v>1013</v>
      </c>
      <c r="E430" t="s">
        <v>1014</v>
      </c>
      <c r="F430" t="s">
        <v>20</v>
      </c>
      <c r="G430" t="s">
        <v>21</v>
      </c>
      <c r="H430" s="1">
        <v>11575</v>
      </c>
      <c r="I430" s="1">
        <v>15366</v>
      </c>
      <c r="J430" s="1">
        <v>20157</v>
      </c>
      <c r="K430" s="1">
        <f t="shared" si="20"/>
        <v>964.58333333333337</v>
      </c>
      <c r="L430" s="1">
        <f t="shared" si="20"/>
        <v>1280.5</v>
      </c>
      <c r="M430" s="1">
        <f t="shared" si="20"/>
        <v>1679.75</v>
      </c>
      <c r="N430" t="str">
        <f t="shared" si="18"/>
        <v>PAYS DE LA LOIRE|85 - Vendée|CA Les Sables d'Olonne Agglomération</v>
      </c>
      <c r="O430" s="1" t="str">
        <f t="shared" si="19"/>
        <v>Province</v>
      </c>
    </row>
    <row r="431" spans="1:15" x14ac:dyDescent="0.25">
      <c r="A431" s="1" t="s">
        <v>956</v>
      </c>
      <c r="B431" t="s">
        <v>1007</v>
      </c>
      <c r="C431" t="s">
        <v>1008</v>
      </c>
      <c r="D431" t="s">
        <v>1015</v>
      </c>
      <c r="E431" t="s">
        <v>1016</v>
      </c>
      <c r="F431" t="s">
        <v>20</v>
      </c>
      <c r="G431" t="s">
        <v>21</v>
      </c>
      <c r="H431" s="1">
        <v>12000</v>
      </c>
      <c r="I431" s="1">
        <v>15632</v>
      </c>
      <c r="J431" s="1">
        <v>19994</v>
      </c>
      <c r="K431" s="1">
        <f t="shared" si="20"/>
        <v>1000</v>
      </c>
      <c r="L431" s="1">
        <f t="shared" si="20"/>
        <v>1302.6666666666667</v>
      </c>
      <c r="M431" s="1">
        <f t="shared" si="20"/>
        <v>1666.1666666666667</v>
      </c>
      <c r="N431" t="str">
        <f t="shared" si="18"/>
        <v>PAYS DE LA LOIRE|85 - Vendée|CA Terres de Montaigu</v>
      </c>
      <c r="O431" s="1" t="str">
        <f t="shared" si="19"/>
        <v>Province</v>
      </c>
    </row>
    <row r="432" spans="1:15" x14ac:dyDescent="0.25">
      <c r="A432" s="1" t="s">
        <v>956</v>
      </c>
      <c r="B432" t="s">
        <v>1007</v>
      </c>
      <c r="C432" t="s">
        <v>1008</v>
      </c>
      <c r="D432" t="s">
        <v>1017</v>
      </c>
      <c r="E432" t="s">
        <v>1018</v>
      </c>
      <c r="F432" t="s">
        <v>20</v>
      </c>
      <c r="G432" t="s">
        <v>21</v>
      </c>
      <c r="H432" s="1">
        <v>11139</v>
      </c>
      <c r="I432" s="1">
        <v>14066</v>
      </c>
      <c r="J432" s="1">
        <v>18283</v>
      </c>
      <c r="K432" s="1">
        <f t="shared" si="20"/>
        <v>928.25</v>
      </c>
      <c r="L432" s="1">
        <f t="shared" si="20"/>
        <v>1172.1666666666667</v>
      </c>
      <c r="M432" s="1">
        <f t="shared" si="20"/>
        <v>1523.5833333333333</v>
      </c>
      <c r="N432" t="str">
        <f t="shared" si="18"/>
        <v>PAYS DE LA LOIRE|85 - Vendée|CC Challans-Gois Communauté</v>
      </c>
      <c r="O432" s="1" t="str">
        <f t="shared" si="19"/>
        <v>Province</v>
      </c>
    </row>
    <row r="433" spans="1:15" x14ac:dyDescent="0.25">
      <c r="A433" s="1" t="s">
        <v>956</v>
      </c>
      <c r="B433" t="s">
        <v>1007</v>
      </c>
      <c r="C433" t="s">
        <v>1008</v>
      </c>
      <c r="D433" t="s">
        <v>1019</v>
      </c>
      <c r="E433" t="s">
        <v>1020</v>
      </c>
      <c r="F433" t="s">
        <v>20</v>
      </c>
      <c r="G433" t="s">
        <v>21</v>
      </c>
      <c r="H433" s="1">
        <v>12120</v>
      </c>
      <c r="I433" s="1">
        <v>15696</v>
      </c>
      <c r="J433" s="1">
        <v>19613</v>
      </c>
      <c r="K433" s="1">
        <f t="shared" si="20"/>
        <v>1010</v>
      </c>
      <c r="L433" s="1">
        <f t="shared" si="20"/>
        <v>1308</v>
      </c>
      <c r="M433" s="1">
        <f t="shared" si="20"/>
        <v>1634.4166666666667</v>
      </c>
      <c r="N433" t="str">
        <f t="shared" si="18"/>
        <v>PAYS DE LA LOIRE|85 - Vendée|CC de Vie et Boulogne</v>
      </c>
      <c r="O433" s="1" t="str">
        <f t="shared" si="19"/>
        <v>Province</v>
      </c>
    </row>
    <row r="434" spans="1:15" x14ac:dyDescent="0.25">
      <c r="A434" s="1" t="s">
        <v>956</v>
      </c>
      <c r="B434" t="s">
        <v>1007</v>
      </c>
      <c r="C434" t="s">
        <v>1008</v>
      </c>
      <c r="D434" t="s">
        <v>1021</v>
      </c>
      <c r="E434" t="s">
        <v>1022</v>
      </c>
      <c r="F434" t="s">
        <v>20</v>
      </c>
      <c r="G434" t="s">
        <v>21</v>
      </c>
      <c r="H434" s="1">
        <v>10544</v>
      </c>
      <c r="I434" s="1">
        <v>13725</v>
      </c>
      <c r="J434" s="1">
        <v>18232</v>
      </c>
      <c r="K434" s="1">
        <f t="shared" si="20"/>
        <v>878.66666666666663</v>
      </c>
      <c r="L434" s="1">
        <f t="shared" si="20"/>
        <v>1143.75</v>
      </c>
      <c r="M434" s="1">
        <f t="shared" si="20"/>
        <v>1519.3333333333333</v>
      </c>
      <c r="N434" t="str">
        <f t="shared" si="18"/>
        <v>PAYS DE LA LOIRE|85 - Vendée|CC du Pays de Fontenay-Vendée</v>
      </c>
      <c r="O434" s="1" t="str">
        <f t="shared" si="19"/>
        <v>Province</v>
      </c>
    </row>
    <row r="435" spans="1:15" x14ac:dyDescent="0.25">
      <c r="A435" s="1" t="s">
        <v>956</v>
      </c>
      <c r="B435" t="s">
        <v>1007</v>
      </c>
      <c r="C435" t="s">
        <v>1008</v>
      </c>
      <c r="D435" t="s">
        <v>1023</v>
      </c>
      <c r="E435" t="s">
        <v>1024</v>
      </c>
      <c r="F435" t="s">
        <v>20</v>
      </c>
      <c r="G435" t="s">
        <v>21</v>
      </c>
      <c r="H435" s="1">
        <v>11262</v>
      </c>
      <c r="I435" s="1">
        <v>15120</v>
      </c>
      <c r="J435" s="1">
        <v>19761</v>
      </c>
      <c r="K435" s="1">
        <f t="shared" si="20"/>
        <v>938.5</v>
      </c>
      <c r="L435" s="1">
        <f t="shared" si="20"/>
        <v>1260</v>
      </c>
      <c r="M435" s="1">
        <f t="shared" si="20"/>
        <v>1646.75</v>
      </c>
      <c r="N435" t="str">
        <f t="shared" si="18"/>
        <v>PAYS DE LA LOIRE|85 - Vendée|CC du Pays des Herbiers</v>
      </c>
      <c r="O435" s="1" t="str">
        <f t="shared" si="19"/>
        <v>Province</v>
      </c>
    </row>
    <row r="436" spans="1:15" x14ac:dyDescent="0.25">
      <c r="A436" s="1" t="s">
        <v>1025</v>
      </c>
      <c r="B436" t="s">
        <v>1026</v>
      </c>
      <c r="C436" t="s">
        <v>1027</v>
      </c>
      <c r="D436" t="s">
        <v>1028</v>
      </c>
      <c r="E436" t="s">
        <v>1029</v>
      </c>
      <c r="F436" t="s">
        <v>20</v>
      </c>
      <c r="G436" t="s">
        <v>21</v>
      </c>
      <c r="H436" s="1">
        <v>9336</v>
      </c>
      <c r="I436" s="1">
        <v>13184</v>
      </c>
      <c r="J436" s="1">
        <v>18201</v>
      </c>
      <c r="K436" s="1">
        <f t="shared" si="20"/>
        <v>778</v>
      </c>
      <c r="L436" s="1">
        <f t="shared" si="20"/>
        <v>1098.6666666666667</v>
      </c>
      <c r="M436" s="1">
        <f t="shared" si="20"/>
        <v>1516.75</v>
      </c>
      <c r="N436" t="str">
        <f t="shared" si="18"/>
        <v>PROVENCE-ALPES-CÔTE D'AZUR|04 - Alpes-de-Haute-Provence|CA Durance-Lubéron-Verdon Agglomération</v>
      </c>
      <c r="O436" s="1" t="str">
        <f t="shared" si="19"/>
        <v>Province</v>
      </c>
    </row>
    <row r="437" spans="1:15" x14ac:dyDescent="0.25">
      <c r="A437" s="1" t="s">
        <v>1025</v>
      </c>
      <c r="B437" t="s">
        <v>1026</v>
      </c>
      <c r="C437" t="s">
        <v>1027</v>
      </c>
      <c r="D437" t="s">
        <v>1030</v>
      </c>
      <c r="E437" t="s">
        <v>1031</v>
      </c>
      <c r="F437" t="s">
        <v>20</v>
      </c>
      <c r="G437" t="s">
        <v>21</v>
      </c>
      <c r="H437" s="1">
        <v>10200</v>
      </c>
      <c r="I437" s="1">
        <v>13566</v>
      </c>
      <c r="J437" s="1">
        <v>18547</v>
      </c>
      <c r="K437" s="1">
        <f t="shared" si="20"/>
        <v>850</v>
      </c>
      <c r="L437" s="1">
        <f t="shared" si="20"/>
        <v>1130.5</v>
      </c>
      <c r="M437" s="1">
        <f t="shared" si="20"/>
        <v>1545.5833333333333</v>
      </c>
      <c r="N437" t="str">
        <f t="shared" si="18"/>
        <v>PROVENCE-ALPES-CÔTE D'AZUR|04 - Alpes-de-Haute-Provence|CA Gap-Tallard-Durance</v>
      </c>
      <c r="O437" s="1" t="str">
        <f t="shared" si="19"/>
        <v>Province</v>
      </c>
    </row>
    <row r="438" spans="1:15" x14ac:dyDescent="0.25">
      <c r="A438" s="1" t="s">
        <v>1025</v>
      </c>
      <c r="B438" t="s">
        <v>1026</v>
      </c>
      <c r="C438" t="s">
        <v>1027</v>
      </c>
      <c r="D438" t="s">
        <v>1032</v>
      </c>
      <c r="E438" t="s">
        <v>1033</v>
      </c>
      <c r="F438" t="s">
        <v>20</v>
      </c>
      <c r="G438" t="s">
        <v>21</v>
      </c>
      <c r="H438" s="1">
        <v>9051</v>
      </c>
      <c r="I438" s="1">
        <v>13002</v>
      </c>
      <c r="J438" s="1">
        <v>18065</v>
      </c>
      <c r="K438" s="1">
        <f t="shared" si="20"/>
        <v>754.25</v>
      </c>
      <c r="L438" s="1">
        <f t="shared" si="20"/>
        <v>1083.5</v>
      </c>
      <c r="M438" s="1">
        <f t="shared" si="20"/>
        <v>1505.4166666666667</v>
      </c>
      <c r="N438" t="str">
        <f t="shared" si="18"/>
        <v>PROVENCE-ALPES-CÔTE D'AZUR|04 - Alpes-de-Haute-Provence|CA Provence-Alpes-Agglomération</v>
      </c>
      <c r="O438" s="1" t="str">
        <f t="shared" si="19"/>
        <v>Province</v>
      </c>
    </row>
    <row r="439" spans="1:15" x14ac:dyDescent="0.25">
      <c r="A439" s="1" t="s">
        <v>1025</v>
      </c>
      <c r="B439" t="s">
        <v>1026</v>
      </c>
      <c r="C439" t="s">
        <v>1027</v>
      </c>
      <c r="D439" t="s">
        <v>1034</v>
      </c>
      <c r="E439" t="s">
        <v>1035</v>
      </c>
      <c r="F439" t="s">
        <v>20</v>
      </c>
      <c r="G439" t="s">
        <v>21</v>
      </c>
      <c r="H439" s="1">
        <v>9354</v>
      </c>
      <c r="I439" s="1">
        <v>12720</v>
      </c>
      <c r="J439" s="1">
        <v>17219</v>
      </c>
      <c r="K439" s="1">
        <f t="shared" si="20"/>
        <v>779.5</v>
      </c>
      <c r="L439" s="1">
        <f t="shared" si="20"/>
        <v>1060</v>
      </c>
      <c r="M439" s="1">
        <f t="shared" si="20"/>
        <v>1434.9166666666667</v>
      </c>
      <c r="N439" t="str">
        <f t="shared" si="18"/>
        <v>PROVENCE-ALPES-CÔTE D'AZUR|04 - Alpes-de-Haute-Provence|CC Pays d'Apt-Luberon</v>
      </c>
      <c r="O439" s="1" t="str">
        <f t="shared" si="19"/>
        <v>Province</v>
      </c>
    </row>
    <row r="440" spans="1:15" x14ac:dyDescent="0.25">
      <c r="A440" s="1" t="s">
        <v>1025</v>
      </c>
      <c r="B440" t="s">
        <v>1036</v>
      </c>
      <c r="C440" t="s">
        <v>1037</v>
      </c>
      <c r="D440" t="s">
        <v>1030</v>
      </c>
      <c r="E440" t="s">
        <v>1031</v>
      </c>
      <c r="F440" t="s">
        <v>20</v>
      </c>
      <c r="G440" t="s">
        <v>21</v>
      </c>
      <c r="H440" s="1">
        <v>10200</v>
      </c>
      <c r="I440" s="1">
        <v>13566</v>
      </c>
      <c r="J440" s="1">
        <v>18547</v>
      </c>
      <c r="K440" s="1">
        <f t="shared" si="20"/>
        <v>850</v>
      </c>
      <c r="L440" s="1">
        <f t="shared" si="20"/>
        <v>1130.5</v>
      </c>
      <c r="M440" s="1">
        <f t="shared" si="20"/>
        <v>1545.5833333333333</v>
      </c>
      <c r="N440" t="str">
        <f t="shared" si="18"/>
        <v>PROVENCE-ALPES-CÔTE D'AZUR|05 - Hautes-Alpes|CA Gap-Tallard-Durance</v>
      </c>
      <c r="O440" s="1" t="str">
        <f t="shared" si="19"/>
        <v>Province</v>
      </c>
    </row>
    <row r="441" spans="1:15" x14ac:dyDescent="0.25">
      <c r="A441" s="1" t="s">
        <v>1025</v>
      </c>
      <c r="B441" t="s">
        <v>1038</v>
      </c>
      <c r="C441" t="s">
        <v>1039</v>
      </c>
      <c r="D441" t="s">
        <v>1040</v>
      </c>
      <c r="E441" t="s">
        <v>1041</v>
      </c>
      <c r="F441" t="s">
        <v>20</v>
      </c>
      <c r="G441" t="s">
        <v>21</v>
      </c>
      <c r="H441" s="1">
        <v>11340</v>
      </c>
      <c r="I441" s="1">
        <v>15360</v>
      </c>
      <c r="J441" s="1">
        <v>20400</v>
      </c>
      <c r="K441" s="1">
        <f t="shared" si="20"/>
        <v>945</v>
      </c>
      <c r="L441" s="1">
        <f t="shared" si="20"/>
        <v>1280</v>
      </c>
      <c r="M441" s="1">
        <f t="shared" si="20"/>
        <v>1700</v>
      </c>
      <c r="N441" t="str">
        <f t="shared" si="18"/>
        <v>PROVENCE-ALPES-CÔTE D'AZUR|06 - Alpes-Maritimes|CA Cannes Pays de Lérins</v>
      </c>
      <c r="O441" s="1" t="str">
        <f t="shared" si="19"/>
        <v>Province</v>
      </c>
    </row>
    <row r="442" spans="1:15" x14ac:dyDescent="0.25">
      <c r="A442" s="1" t="s">
        <v>1025</v>
      </c>
      <c r="B442" t="s">
        <v>1038</v>
      </c>
      <c r="C442" t="s">
        <v>1039</v>
      </c>
      <c r="D442" t="s">
        <v>1042</v>
      </c>
      <c r="E442" t="s">
        <v>1043</v>
      </c>
      <c r="F442" t="s">
        <v>20</v>
      </c>
      <c r="G442" t="s">
        <v>21</v>
      </c>
      <c r="H442" s="1">
        <v>11442</v>
      </c>
      <c r="I442" s="1">
        <v>15636</v>
      </c>
      <c r="J442" s="1">
        <v>20943</v>
      </c>
      <c r="K442" s="1">
        <f t="shared" si="20"/>
        <v>953.5</v>
      </c>
      <c r="L442" s="1">
        <f t="shared" si="20"/>
        <v>1303</v>
      </c>
      <c r="M442" s="1">
        <f t="shared" si="20"/>
        <v>1745.25</v>
      </c>
      <c r="N442" t="str">
        <f t="shared" si="18"/>
        <v>PROVENCE-ALPES-CÔTE D'AZUR|06 - Alpes-Maritimes|CA de la Riviera Française</v>
      </c>
      <c r="O442" s="1" t="str">
        <f t="shared" si="19"/>
        <v>Province</v>
      </c>
    </row>
    <row r="443" spans="1:15" x14ac:dyDescent="0.25">
      <c r="A443" s="1" t="s">
        <v>1025</v>
      </c>
      <c r="B443" t="s">
        <v>1038</v>
      </c>
      <c r="C443" t="s">
        <v>1039</v>
      </c>
      <c r="D443" t="s">
        <v>1044</v>
      </c>
      <c r="E443" t="s">
        <v>1045</v>
      </c>
      <c r="F443" t="s">
        <v>20</v>
      </c>
      <c r="G443" t="s">
        <v>21</v>
      </c>
      <c r="H443" s="1">
        <v>11724</v>
      </c>
      <c r="I443" s="1">
        <v>16177</v>
      </c>
      <c r="J443" s="1">
        <v>21143</v>
      </c>
      <c r="K443" s="1">
        <f t="shared" si="20"/>
        <v>977</v>
      </c>
      <c r="L443" s="1">
        <f t="shared" si="20"/>
        <v>1348.0833333333333</v>
      </c>
      <c r="M443" s="1">
        <f t="shared" si="20"/>
        <v>1761.9166666666667</v>
      </c>
      <c r="N443" t="str">
        <f t="shared" si="18"/>
        <v>PROVENCE-ALPES-CÔTE D'AZUR|06 - Alpes-Maritimes|CA de Sophia Antipolis</v>
      </c>
      <c r="O443" s="1" t="str">
        <f t="shared" si="19"/>
        <v>Province</v>
      </c>
    </row>
    <row r="444" spans="1:15" x14ac:dyDescent="0.25">
      <c r="A444" s="1" t="s">
        <v>1025</v>
      </c>
      <c r="B444" t="s">
        <v>1038</v>
      </c>
      <c r="C444" t="s">
        <v>1039</v>
      </c>
      <c r="D444" t="s">
        <v>1046</v>
      </c>
      <c r="E444" t="s">
        <v>1047</v>
      </c>
      <c r="F444" t="s">
        <v>20</v>
      </c>
      <c r="G444" t="s">
        <v>21</v>
      </c>
      <c r="H444" s="1">
        <v>11618</v>
      </c>
      <c r="I444" s="1">
        <v>15723</v>
      </c>
      <c r="J444" s="1">
        <v>20400</v>
      </c>
      <c r="K444" s="1">
        <f t="shared" si="20"/>
        <v>968.16666666666663</v>
      </c>
      <c r="L444" s="1">
        <f t="shared" si="20"/>
        <v>1310.25</v>
      </c>
      <c r="M444" s="1">
        <f t="shared" si="20"/>
        <v>1700</v>
      </c>
      <c r="N444" t="str">
        <f t="shared" si="18"/>
        <v>PROVENCE-ALPES-CÔTE D'AZUR|06 - Alpes-Maritimes|CA du Pays de Grasse</v>
      </c>
      <c r="O444" s="1" t="str">
        <f t="shared" si="19"/>
        <v>Province</v>
      </c>
    </row>
    <row r="445" spans="1:15" x14ac:dyDescent="0.25">
      <c r="A445" s="1" t="s">
        <v>1025</v>
      </c>
      <c r="B445" t="s">
        <v>1038</v>
      </c>
      <c r="C445" t="s">
        <v>1039</v>
      </c>
      <c r="D445" t="s">
        <v>1048</v>
      </c>
      <c r="E445" t="s">
        <v>1049</v>
      </c>
      <c r="F445" t="s">
        <v>20</v>
      </c>
      <c r="G445" t="s">
        <v>21</v>
      </c>
      <c r="H445" s="1">
        <v>10800</v>
      </c>
      <c r="I445" s="1">
        <v>15000</v>
      </c>
      <c r="J445" s="1">
        <v>20400</v>
      </c>
      <c r="K445" s="1">
        <f t="shared" si="20"/>
        <v>900</v>
      </c>
      <c r="L445" s="1">
        <f t="shared" si="20"/>
        <v>1250</v>
      </c>
      <c r="M445" s="1">
        <f t="shared" si="20"/>
        <v>1700</v>
      </c>
      <c r="N445" t="str">
        <f t="shared" si="18"/>
        <v>PROVENCE-ALPES-CÔTE D'AZUR|06 - Alpes-Maritimes|Métropole Nice Côte d'Azur</v>
      </c>
      <c r="O445" s="1" t="str">
        <f t="shared" si="19"/>
        <v>Province</v>
      </c>
    </row>
    <row r="446" spans="1:15" x14ac:dyDescent="0.25">
      <c r="A446" s="1" t="s">
        <v>1025</v>
      </c>
      <c r="B446" t="s">
        <v>1050</v>
      </c>
      <c r="C446" t="s">
        <v>1051</v>
      </c>
      <c r="D446" t="s">
        <v>1052</v>
      </c>
      <c r="E446" t="s">
        <v>1053</v>
      </c>
      <c r="F446" t="s">
        <v>20</v>
      </c>
      <c r="G446" t="s">
        <v>21</v>
      </c>
      <c r="H446" s="1">
        <v>8919</v>
      </c>
      <c r="I446" s="1">
        <v>12707</v>
      </c>
      <c r="J446" s="1">
        <v>18000</v>
      </c>
      <c r="K446" s="1">
        <f t="shared" si="20"/>
        <v>743.25</v>
      </c>
      <c r="L446" s="1">
        <f t="shared" si="20"/>
        <v>1058.9166666666667</v>
      </c>
      <c r="M446" s="1">
        <f t="shared" si="20"/>
        <v>1500</v>
      </c>
      <c r="N446" t="str">
        <f t="shared" si="18"/>
        <v>PROVENCE-ALPES-CÔTE D'AZUR|13 - Bouches-du-Rhône|CA d'Arles-Crau-Camargue-Montagnette</v>
      </c>
      <c r="O446" s="1" t="str">
        <f t="shared" si="19"/>
        <v>Province</v>
      </c>
    </row>
    <row r="447" spans="1:15" x14ac:dyDescent="0.25">
      <c r="A447" s="1" t="s">
        <v>1025</v>
      </c>
      <c r="B447" t="s">
        <v>1050</v>
      </c>
      <c r="C447" t="s">
        <v>1051</v>
      </c>
      <c r="D447" t="s">
        <v>1054</v>
      </c>
      <c r="E447" t="s">
        <v>1055</v>
      </c>
      <c r="F447" t="s">
        <v>20</v>
      </c>
      <c r="G447" t="s">
        <v>21</v>
      </c>
      <c r="H447" s="1">
        <v>10140</v>
      </c>
      <c r="I447" s="1">
        <v>14100</v>
      </c>
      <c r="J447" s="1">
        <v>18954</v>
      </c>
      <c r="K447" s="1">
        <f t="shared" si="20"/>
        <v>845</v>
      </c>
      <c r="L447" s="1">
        <f t="shared" si="20"/>
        <v>1175</v>
      </c>
      <c r="M447" s="1">
        <f t="shared" si="20"/>
        <v>1579.5</v>
      </c>
      <c r="N447" t="str">
        <f t="shared" si="18"/>
        <v>PROVENCE-ALPES-CÔTE D'AZUR|13 - Bouches-du-Rhône|CA Terre de Provence</v>
      </c>
      <c r="O447" s="1" t="str">
        <f t="shared" si="19"/>
        <v>Province</v>
      </c>
    </row>
    <row r="448" spans="1:15" x14ac:dyDescent="0.25">
      <c r="A448" s="1" t="s">
        <v>1025</v>
      </c>
      <c r="B448" t="s">
        <v>1050</v>
      </c>
      <c r="C448" t="s">
        <v>1051</v>
      </c>
      <c r="D448" t="s">
        <v>1056</v>
      </c>
      <c r="E448" t="s">
        <v>1057</v>
      </c>
      <c r="F448" t="s">
        <v>20</v>
      </c>
      <c r="G448" t="s">
        <v>21</v>
      </c>
      <c r="H448" s="1">
        <v>9493</v>
      </c>
      <c r="I448" s="1">
        <v>13800</v>
      </c>
      <c r="J448" s="1">
        <v>19309</v>
      </c>
      <c r="K448" s="1">
        <f t="shared" si="20"/>
        <v>791.08333333333337</v>
      </c>
      <c r="L448" s="1">
        <f t="shared" si="20"/>
        <v>1150</v>
      </c>
      <c r="M448" s="1">
        <f t="shared" si="20"/>
        <v>1609.0833333333333</v>
      </c>
      <c r="N448" t="str">
        <f t="shared" si="18"/>
        <v>PROVENCE-ALPES-CÔTE D'AZUR|13 - Bouches-du-Rhône|Métropole d'Aix-Marseille-Provence</v>
      </c>
      <c r="O448" s="1" t="str">
        <f t="shared" si="19"/>
        <v>Province</v>
      </c>
    </row>
    <row r="449" spans="1:15" x14ac:dyDescent="0.25">
      <c r="A449" s="1" t="s">
        <v>1025</v>
      </c>
      <c r="B449" t="s">
        <v>1058</v>
      </c>
      <c r="C449" t="s">
        <v>1059</v>
      </c>
      <c r="D449" t="s">
        <v>1060</v>
      </c>
      <c r="E449" t="s">
        <v>1061</v>
      </c>
      <c r="F449" t="s">
        <v>20</v>
      </c>
      <c r="G449" t="s">
        <v>21</v>
      </c>
      <c r="H449" s="1">
        <v>8874</v>
      </c>
      <c r="I449" s="1">
        <v>12582</v>
      </c>
      <c r="J449" s="1">
        <v>17692</v>
      </c>
      <c r="K449" s="1">
        <f t="shared" si="20"/>
        <v>739.5</v>
      </c>
      <c r="L449" s="1">
        <f t="shared" si="20"/>
        <v>1048.5</v>
      </c>
      <c r="M449" s="1">
        <f t="shared" si="20"/>
        <v>1474.3333333333333</v>
      </c>
      <c r="N449" t="str">
        <f t="shared" si="18"/>
        <v>PROVENCE-ALPES-CÔTE D'AZUR|83 - Var|CA de la Provence Verte</v>
      </c>
      <c r="O449" s="1" t="str">
        <f t="shared" si="19"/>
        <v>Province</v>
      </c>
    </row>
    <row r="450" spans="1:15" x14ac:dyDescent="0.25">
      <c r="A450" s="1" t="s">
        <v>1025</v>
      </c>
      <c r="B450" t="s">
        <v>1058</v>
      </c>
      <c r="C450" t="s">
        <v>1059</v>
      </c>
      <c r="D450" t="s">
        <v>1028</v>
      </c>
      <c r="E450" t="s">
        <v>1029</v>
      </c>
      <c r="F450" t="s">
        <v>20</v>
      </c>
      <c r="G450" t="s">
        <v>21</v>
      </c>
      <c r="H450" s="1">
        <v>9336</v>
      </c>
      <c r="I450" s="1">
        <v>13184</v>
      </c>
      <c r="J450" s="1">
        <v>18201</v>
      </c>
      <c r="K450" s="1">
        <f t="shared" si="20"/>
        <v>778</v>
      </c>
      <c r="L450" s="1">
        <f t="shared" si="20"/>
        <v>1098.6666666666667</v>
      </c>
      <c r="M450" s="1">
        <f t="shared" si="20"/>
        <v>1516.75</v>
      </c>
      <c r="N450" t="str">
        <f t="shared" ref="N450:N465" si="21">SUBSTITUTE(
   UPPER(SUBSTITUTE(TRIM(A450), CHAR(160), " ")) &amp; "|" &amp;
   SUBSTITUTE(TRIM(C450), CHAR(160), " ") &amp; "|" &amp;
   SUBSTITUTE(TRIM(D450), CHAR(160), " "),
   "–", "-"
)</f>
        <v>PROVENCE-ALPES-CÔTE D'AZUR|83 - Var|CA Durance-Lubéron-Verdon Agglomération</v>
      </c>
      <c r="O450" s="1" t="str">
        <f t="shared" ref="O450:O465" si="22">IF(A450="Hauts-de-France", "HDF",
IF(A450="Île-de-France", "IDF",
IF(OR(A450="Guadeloupe", A450="Martinique", A450="Guyane", A450="La Réunion", A450="Mayotte"), "OM", "Province")))</f>
        <v>Province</v>
      </c>
    </row>
    <row r="451" spans="1:15" x14ac:dyDescent="0.25">
      <c r="A451" s="1" t="s">
        <v>1025</v>
      </c>
      <c r="B451" t="s">
        <v>1058</v>
      </c>
      <c r="C451" t="s">
        <v>1059</v>
      </c>
      <c r="D451" t="s">
        <v>1062</v>
      </c>
      <c r="E451" t="s">
        <v>1063</v>
      </c>
      <c r="F451" t="s">
        <v>20</v>
      </c>
      <c r="G451" t="s">
        <v>21</v>
      </c>
      <c r="H451" s="1">
        <v>11408</v>
      </c>
      <c r="I451" s="1">
        <v>15600</v>
      </c>
      <c r="J451" s="1">
        <v>20378</v>
      </c>
      <c r="K451" s="1">
        <f t="shared" ref="K451:M465" si="23">H451/12</f>
        <v>950.66666666666663</v>
      </c>
      <c r="L451" s="1">
        <f t="shared" si="23"/>
        <v>1300</v>
      </c>
      <c r="M451" s="1">
        <f t="shared" si="23"/>
        <v>1698.1666666666667</v>
      </c>
      <c r="N451" t="str">
        <f t="shared" si="21"/>
        <v>PROVENCE-ALPES-CÔTE D'AZUR|83 - Var|CA Sud Sainte Baume</v>
      </c>
      <c r="O451" s="1" t="str">
        <f t="shared" si="22"/>
        <v>Province</v>
      </c>
    </row>
    <row r="452" spans="1:15" x14ac:dyDescent="0.25">
      <c r="A452" s="1" t="s">
        <v>1025</v>
      </c>
      <c r="B452" t="s">
        <v>1058</v>
      </c>
      <c r="C452" t="s">
        <v>1059</v>
      </c>
      <c r="D452" t="s">
        <v>1064</v>
      </c>
      <c r="E452" t="s">
        <v>1065</v>
      </c>
      <c r="F452" t="s">
        <v>20</v>
      </c>
      <c r="G452" t="s">
        <v>21</v>
      </c>
      <c r="H452" s="1">
        <v>11495</v>
      </c>
      <c r="I452" s="1">
        <v>15609</v>
      </c>
      <c r="J452" s="1">
        <v>20332</v>
      </c>
      <c r="K452" s="1">
        <f t="shared" si="23"/>
        <v>957.91666666666663</v>
      </c>
      <c r="L452" s="1">
        <f t="shared" si="23"/>
        <v>1300.75</v>
      </c>
      <c r="M452" s="1">
        <f t="shared" si="23"/>
        <v>1694.3333333333333</v>
      </c>
      <c r="N452" t="str">
        <f t="shared" si="21"/>
        <v>PROVENCE-ALPES-CÔTE D'AZUR|83 - Var|CC de la Vallée du Gapeau</v>
      </c>
      <c r="O452" s="1" t="str">
        <f t="shared" si="22"/>
        <v>Province</v>
      </c>
    </row>
    <row r="453" spans="1:15" x14ac:dyDescent="0.25">
      <c r="A453" s="1" t="s">
        <v>1025</v>
      </c>
      <c r="B453" t="s">
        <v>1058</v>
      </c>
      <c r="C453" t="s">
        <v>1059</v>
      </c>
      <c r="D453" t="s">
        <v>1066</v>
      </c>
      <c r="E453" t="s">
        <v>1067</v>
      </c>
      <c r="F453" t="s">
        <v>20</v>
      </c>
      <c r="G453" t="s">
        <v>21</v>
      </c>
      <c r="H453" s="1">
        <v>11080</v>
      </c>
      <c r="I453" s="1">
        <v>15377</v>
      </c>
      <c r="J453" s="1">
        <v>20796</v>
      </c>
      <c r="K453" s="1">
        <f t="shared" si="23"/>
        <v>923.33333333333337</v>
      </c>
      <c r="L453" s="1">
        <f t="shared" si="23"/>
        <v>1281.4166666666667</v>
      </c>
      <c r="M453" s="1">
        <f t="shared" si="23"/>
        <v>1733</v>
      </c>
      <c r="N453" t="str">
        <f t="shared" si="21"/>
        <v>PROVENCE-ALPES-CÔTE D'AZUR|83 - Var|CC du Golfe de Saint-Tropez</v>
      </c>
      <c r="O453" s="1" t="str">
        <f t="shared" si="22"/>
        <v>Province</v>
      </c>
    </row>
    <row r="454" spans="1:15" x14ac:dyDescent="0.25">
      <c r="A454" s="1" t="s">
        <v>1025</v>
      </c>
      <c r="B454" t="s">
        <v>1058</v>
      </c>
      <c r="C454" t="s">
        <v>1059</v>
      </c>
      <c r="D454" t="s">
        <v>1068</v>
      </c>
      <c r="E454" t="s">
        <v>1069</v>
      </c>
      <c r="F454" t="s">
        <v>20</v>
      </c>
      <c r="G454" t="s">
        <v>21</v>
      </c>
      <c r="H454" s="1">
        <v>10615</v>
      </c>
      <c r="I454" s="1">
        <v>14796</v>
      </c>
      <c r="J454" s="1">
        <v>19596</v>
      </c>
      <c r="K454" s="1">
        <f t="shared" si="23"/>
        <v>884.58333333333337</v>
      </c>
      <c r="L454" s="1">
        <f t="shared" si="23"/>
        <v>1233</v>
      </c>
      <c r="M454" s="1">
        <f t="shared" si="23"/>
        <v>1633</v>
      </c>
      <c r="N454" t="str">
        <f t="shared" si="21"/>
        <v>PROVENCE-ALPES-CÔTE D'AZUR|83 - Var|CC Méditerranée Porte des Maures</v>
      </c>
      <c r="O454" s="1" t="str">
        <f t="shared" si="22"/>
        <v>Province</v>
      </c>
    </row>
    <row r="455" spans="1:15" x14ac:dyDescent="0.25">
      <c r="A455" s="1" t="s">
        <v>1025</v>
      </c>
      <c r="B455" t="s">
        <v>1058</v>
      </c>
      <c r="C455" t="s">
        <v>1059</v>
      </c>
      <c r="D455" t="s">
        <v>1070</v>
      </c>
      <c r="E455" t="s">
        <v>1071</v>
      </c>
      <c r="F455" t="s">
        <v>20</v>
      </c>
      <c r="G455" t="s">
        <v>21</v>
      </c>
      <c r="H455" s="1">
        <v>9360</v>
      </c>
      <c r="I455" s="1">
        <v>13200</v>
      </c>
      <c r="J455" s="1">
        <v>18194</v>
      </c>
      <c r="K455" s="1">
        <f t="shared" si="23"/>
        <v>780</v>
      </c>
      <c r="L455" s="1">
        <f t="shared" si="23"/>
        <v>1100</v>
      </c>
      <c r="M455" s="1">
        <f t="shared" si="23"/>
        <v>1516.1666666666667</v>
      </c>
      <c r="N455" t="str">
        <f t="shared" si="21"/>
        <v>PROVENCE-ALPES-CÔTE D'AZUR|83 - Var|Dracénie Provence Verdon Agglomération</v>
      </c>
      <c r="O455" s="1" t="str">
        <f t="shared" si="22"/>
        <v>Province</v>
      </c>
    </row>
    <row r="456" spans="1:15" x14ac:dyDescent="0.25">
      <c r="A456" s="1" t="s">
        <v>1025</v>
      </c>
      <c r="B456" t="s">
        <v>1058</v>
      </c>
      <c r="C456" t="s">
        <v>1059</v>
      </c>
      <c r="D456" t="s">
        <v>1072</v>
      </c>
      <c r="E456" t="s">
        <v>1073</v>
      </c>
      <c r="F456" t="s">
        <v>20</v>
      </c>
      <c r="G456" t="s">
        <v>21</v>
      </c>
      <c r="H456" s="1">
        <v>10020</v>
      </c>
      <c r="I456" s="1">
        <v>14400</v>
      </c>
      <c r="J456" s="1">
        <v>19800</v>
      </c>
      <c r="K456" s="1">
        <f t="shared" si="23"/>
        <v>835</v>
      </c>
      <c r="L456" s="1">
        <f t="shared" si="23"/>
        <v>1200</v>
      </c>
      <c r="M456" s="1">
        <f t="shared" si="23"/>
        <v>1650</v>
      </c>
      <c r="N456" t="str">
        <f t="shared" si="21"/>
        <v>PROVENCE-ALPES-CÔTE D'AZUR|83 - Var|Estérel Côte d'Azur Agglomération</v>
      </c>
      <c r="O456" s="1" t="str">
        <f t="shared" si="22"/>
        <v>Province</v>
      </c>
    </row>
    <row r="457" spans="1:15" x14ac:dyDescent="0.25">
      <c r="A457" s="1" t="s">
        <v>1025</v>
      </c>
      <c r="B457" t="s">
        <v>1058</v>
      </c>
      <c r="C457" t="s">
        <v>1059</v>
      </c>
      <c r="D457" t="s">
        <v>1056</v>
      </c>
      <c r="E457" t="s">
        <v>1057</v>
      </c>
      <c r="F457" t="s">
        <v>20</v>
      </c>
      <c r="G457" t="s">
        <v>21</v>
      </c>
      <c r="H457" s="1">
        <v>9493</v>
      </c>
      <c r="I457" s="1">
        <v>13800</v>
      </c>
      <c r="J457" s="1">
        <v>19309</v>
      </c>
      <c r="K457" s="1">
        <f t="shared" si="23"/>
        <v>791.08333333333337</v>
      </c>
      <c r="L457" s="1">
        <f t="shared" si="23"/>
        <v>1150</v>
      </c>
      <c r="M457" s="1">
        <f t="shared" si="23"/>
        <v>1609.0833333333333</v>
      </c>
      <c r="N457" t="str">
        <f t="shared" si="21"/>
        <v>PROVENCE-ALPES-CÔTE D'AZUR|83 - Var|Métropole d'Aix-Marseille-Provence</v>
      </c>
      <c r="O457" s="1" t="str">
        <f t="shared" si="22"/>
        <v>Province</v>
      </c>
    </row>
    <row r="458" spans="1:15" x14ac:dyDescent="0.25">
      <c r="A458" s="1" t="s">
        <v>1025</v>
      </c>
      <c r="B458" t="s">
        <v>1058</v>
      </c>
      <c r="C458" t="s">
        <v>1059</v>
      </c>
      <c r="D458" t="s">
        <v>1074</v>
      </c>
      <c r="E458" t="s">
        <v>1075</v>
      </c>
      <c r="F458" t="s">
        <v>20</v>
      </c>
      <c r="G458" t="s">
        <v>21</v>
      </c>
      <c r="H458" s="1">
        <v>9324</v>
      </c>
      <c r="I458" s="1">
        <v>13440</v>
      </c>
      <c r="J458" s="1">
        <v>18808</v>
      </c>
      <c r="K458" s="1">
        <f t="shared" si="23"/>
        <v>777</v>
      </c>
      <c r="L458" s="1">
        <f t="shared" si="23"/>
        <v>1120</v>
      </c>
      <c r="M458" s="1">
        <f t="shared" si="23"/>
        <v>1567.3333333333333</v>
      </c>
      <c r="N458" t="str">
        <f t="shared" si="21"/>
        <v>PROVENCE-ALPES-CÔTE D'AZUR|83 - Var|Métropole Toulon-Provence-Méditerranée</v>
      </c>
      <c r="O458" s="1" t="str">
        <f t="shared" si="22"/>
        <v>Province</v>
      </c>
    </row>
    <row r="459" spans="1:15" x14ac:dyDescent="0.25">
      <c r="A459" s="1" t="s">
        <v>1025</v>
      </c>
      <c r="B459" t="s">
        <v>1076</v>
      </c>
      <c r="C459" t="s">
        <v>1077</v>
      </c>
      <c r="D459" t="s">
        <v>1078</v>
      </c>
      <c r="E459" t="s">
        <v>1079</v>
      </c>
      <c r="F459" t="s">
        <v>20</v>
      </c>
      <c r="G459" t="s">
        <v>21</v>
      </c>
      <c r="H459" s="1">
        <v>9600</v>
      </c>
      <c r="I459" s="1">
        <v>13248</v>
      </c>
      <c r="J459" s="1">
        <v>18434</v>
      </c>
      <c r="K459" s="1">
        <f t="shared" si="23"/>
        <v>800</v>
      </c>
      <c r="L459" s="1">
        <f t="shared" si="23"/>
        <v>1104</v>
      </c>
      <c r="M459" s="1">
        <f t="shared" si="23"/>
        <v>1536.1666666666667</v>
      </c>
      <c r="N459" t="str">
        <f t="shared" si="21"/>
        <v>PROVENCE-ALPES-CÔTE D'AZUR|84 - Vaucluse|CA des Sorgues du Comtat</v>
      </c>
      <c r="O459" s="1" t="str">
        <f t="shared" si="22"/>
        <v>Province</v>
      </c>
    </row>
    <row r="460" spans="1:15" x14ac:dyDescent="0.25">
      <c r="A460" s="1" t="s">
        <v>1025</v>
      </c>
      <c r="B460" t="s">
        <v>1076</v>
      </c>
      <c r="C460" t="s">
        <v>1077</v>
      </c>
      <c r="D460" t="s">
        <v>872</v>
      </c>
      <c r="E460" t="s">
        <v>873</v>
      </c>
      <c r="F460" t="s">
        <v>20</v>
      </c>
      <c r="G460" t="s">
        <v>21</v>
      </c>
      <c r="H460" s="1">
        <v>8902</v>
      </c>
      <c r="I460" s="1">
        <v>12993</v>
      </c>
      <c r="J460" s="1">
        <v>18192</v>
      </c>
      <c r="K460" s="1">
        <f t="shared" si="23"/>
        <v>741.83333333333337</v>
      </c>
      <c r="L460" s="1">
        <f t="shared" si="23"/>
        <v>1082.75</v>
      </c>
      <c r="M460" s="1">
        <f t="shared" si="23"/>
        <v>1516</v>
      </c>
      <c r="N460" t="str">
        <f t="shared" si="21"/>
        <v>PROVENCE-ALPES-CÔTE D'AZUR|84 - Vaucluse|CA du Grand Avignon (COGA)</v>
      </c>
      <c r="O460" s="1" t="str">
        <f t="shared" si="22"/>
        <v>Province</v>
      </c>
    </row>
    <row r="461" spans="1:15" x14ac:dyDescent="0.25">
      <c r="A461" s="1" t="s">
        <v>1025</v>
      </c>
      <c r="B461" t="s">
        <v>1076</v>
      </c>
      <c r="C461" t="s">
        <v>1077</v>
      </c>
      <c r="D461" t="s">
        <v>1080</v>
      </c>
      <c r="E461" t="s">
        <v>1081</v>
      </c>
      <c r="F461" t="s">
        <v>20</v>
      </c>
      <c r="G461" t="s">
        <v>21</v>
      </c>
      <c r="H461" s="1">
        <v>9384</v>
      </c>
      <c r="I461" s="1">
        <v>13032</v>
      </c>
      <c r="J461" s="1">
        <v>18000</v>
      </c>
      <c r="K461" s="1">
        <f t="shared" si="23"/>
        <v>782</v>
      </c>
      <c r="L461" s="1">
        <f t="shared" si="23"/>
        <v>1086</v>
      </c>
      <c r="M461" s="1">
        <f t="shared" si="23"/>
        <v>1500</v>
      </c>
      <c r="N461" t="str">
        <f t="shared" si="21"/>
        <v>PROVENCE-ALPES-CÔTE D'AZUR|84 - Vaucluse|CA Luberon Monts de Vaucluse</v>
      </c>
      <c r="O461" s="1" t="str">
        <f t="shared" si="22"/>
        <v>Province</v>
      </c>
    </row>
    <row r="462" spans="1:15" x14ac:dyDescent="0.25">
      <c r="A462" s="1" t="s">
        <v>1025</v>
      </c>
      <c r="B462" t="s">
        <v>1076</v>
      </c>
      <c r="C462" t="s">
        <v>1077</v>
      </c>
      <c r="D462" t="s">
        <v>1082</v>
      </c>
      <c r="E462" t="s">
        <v>1083</v>
      </c>
      <c r="F462" t="s">
        <v>20</v>
      </c>
      <c r="G462" t="s">
        <v>21</v>
      </c>
      <c r="H462" s="1">
        <v>8569</v>
      </c>
      <c r="I462" s="1">
        <v>12259</v>
      </c>
      <c r="J462" s="1">
        <v>16667</v>
      </c>
      <c r="K462" s="1">
        <f t="shared" si="23"/>
        <v>714.08333333333337</v>
      </c>
      <c r="L462" s="1">
        <f t="shared" si="23"/>
        <v>1021.5833333333334</v>
      </c>
      <c r="M462" s="1">
        <f t="shared" si="23"/>
        <v>1388.9166666666667</v>
      </c>
      <c r="N462" t="str">
        <f t="shared" si="21"/>
        <v>PROVENCE-ALPES-CÔTE D'AZUR|84 - Vaucluse|CA Ventoux-Comtat-Venaissin (COVE)</v>
      </c>
      <c r="O462" s="1" t="str">
        <f t="shared" si="22"/>
        <v>Province</v>
      </c>
    </row>
    <row r="463" spans="1:15" x14ac:dyDescent="0.25">
      <c r="A463" s="1" t="s">
        <v>1025</v>
      </c>
      <c r="B463" t="s">
        <v>1076</v>
      </c>
      <c r="C463" t="s">
        <v>1077</v>
      </c>
      <c r="D463" t="s">
        <v>1034</v>
      </c>
      <c r="E463" t="s">
        <v>1035</v>
      </c>
      <c r="F463" t="s">
        <v>20</v>
      </c>
      <c r="G463" t="s">
        <v>21</v>
      </c>
      <c r="H463" s="1">
        <v>9354</v>
      </c>
      <c r="I463" s="1">
        <v>12720</v>
      </c>
      <c r="J463" s="1">
        <v>17219</v>
      </c>
      <c r="K463" s="1">
        <f t="shared" si="23"/>
        <v>779.5</v>
      </c>
      <c r="L463" s="1">
        <f t="shared" si="23"/>
        <v>1060</v>
      </c>
      <c r="M463" s="1">
        <f t="shared" si="23"/>
        <v>1434.9166666666667</v>
      </c>
      <c r="N463" t="str">
        <f t="shared" si="21"/>
        <v>PROVENCE-ALPES-CÔTE D'AZUR|84 - Vaucluse|CC Pays d'Apt-Luberon</v>
      </c>
      <c r="O463" s="1" t="str">
        <f t="shared" si="22"/>
        <v>Province</v>
      </c>
    </row>
    <row r="464" spans="1:15" x14ac:dyDescent="0.25">
      <c r="A464" s="1" t="s">
        <v>1025</v>
      </c>
      <c r="B464" t="s">
        <v>1076</v>
      </c>
      <c r="C464" t="s">
        <v>1077</v>
      </c>
      <c r="D464" t="s">
        <v>1056</v>
      </c>
      <c r="E464" t="s">
        <v>1057</v>
      </c>
      <c r="F464" t="s">
        <v>20</v>
      </c>
      <c r="G464" t="s">
        <v>21</v>
      </c>
      <c r="H464" s="1">
        <v>9493</v>
      </c>
      <c r="I464" s="1">
        <v>13800</v>
      </c>
      <c r="J464" s="1">
        <v>19309</v>
      </c>
      <c r="K464" s="1">
        <f t="shared" si="23"/>
        <v>791.08333333333337</v>
      </c>
      <c r="L464" s="1">
        <f t="shared" si="23"/>
        <v>1150</v>
      </c>
      <c r="M464" s="1">
        <f t="shared" si="23"/>
        <v>1609.0833333333333</v>
      </c>
      <c r="N464" t="str">
        <f t="shared" si="21"/>
        <v>PROVENCE-ALPES-CÔTE D'AZUR|84 - Vaucluse|Métropole d'Aix-Marseille-Provence</v>
      </c>
      <c r="O464" s="1" t="str">
        <f t="shared" si="22"/>
        <v>Province</v>
      </c>
    </row>
    <row r="465" spans="1:15" x14ac:dyDescent="0.25">
      <c r="A465" s="1" t="s">
        <v>1025</v>
      </c>
      <c r="B465" t="s">
        <v>1076</v>
      </c>
      <c r="C465" t="s">
        <v>1077</v>
      </c>
      <c r="D465" t="s">
        <v>1084</v>
      </c>
      <c r="E465" t="s">
        <v>1085</v>
      </c>
      <c r="F465" t="s">
        <v>20</v>
      </c>
      <c r="G465" t="s">
        <v>21</v>
      </c>
      <c r="H465" s="1">
        <v>8704</v>
      </c>
      <c r="I465" s="1">
        <v>12276</v>
      </c>
      <c r="J465" s="1">
        <v>17160</v>
      </c>
      <c r="K465" s="1">
        <f t="shared" si="23"/>
        <v>725.33333333333337</v>
      </c>
      <c r="L465" s="1">
        <f t="shared" si="23"/>
        <v>1023</v>
      </c>
      <c r="M465" s="1">
        <f t="shared" si="23"/>
        <v>1430</v>
      </c>
      <c r="N465" t="str">
        <f t="shared" si="21"/>
        <v>PROVENCE-ALPES-CÔTE D'AZUR|84 - Vaucluse|Pays d'Orange en Provence</v>
      </c>
      <c r="O465" s="1" t="str">
        <f t="shared" si="22"/>
        <v>Province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974DC-0E67-4208-AB13-0F85321BCA1E}">
  <dimension ref="A1:O466"/>
  <sheetViews>
    <sheetView tabSelected="1" workbookViewId="0">
      <selection activeCell="C1" sqref="C1"/>
    </sheetView>
  </sheetViews>
  <sheetFormatPr baseColWidth="10" defaultRowHeight="15" x14ac:dyDescent="0.25"/>
  <cols>
    <col min="1" max="1" width="25.28515625" bestFit="1" customWidth="1"/>
    <col min="2" max="2" width="23.5703125" bestFit="1" customWidth="1"/>
    <col min="3" max="3" width="27.28515625" bestFit="1" customWidth="1"/>
    <col min="4" max="4" width="56.140625" bestFit="1" customWidth="1"/>
    <col min="5" max="5" width="16.85546875" bestFit="1" customWidth="1"/>
    <col min="6" max="6" width="21.140625" bestFit="1" customWidth="1"/>
    <col min="7" max="7" width="32" bestFit="1" customWidth="1"/>
    <col min="8" max="8" width="12.28515625" bestFit="1" customWidth="1"/>
    <col min="9" max="9" width="12" bestFit="1" customWidth="1"/>
    <col min="10" max="10" width="12.28515625" bestFit="1" customWidth="1"/>
    <col min="11" max="13" width="14" bestFit="1" customWidth="1"/>
    <col min="14" max="14" width="102.140625" bestFit="1" customWidth="1"/>
    <col min="15" max="15" width="8.5703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25">
      <c r="A2" t="s">
        <v>15</v>
      </c>
      <c r="B2" t="str">
        <f>MID(C2,6,LEN(C2))</f>
        <v>Ain</v>
      </c>
      <c r="C2" t="s">
        <v>17</v>
      </c>
      <c r="D2" t="s">
        <v>18</v>
      </c>
      <c r="E2">
        <v>200071751</v>
      </c>
      <c r="F2">
        <v>2024</v>
      </c>
      <c r="G2" t="s">
        <v>21</v>
      </c>
      <c r="H2" s="1">
        <v>10161</v>
      </c>
      <c r="I2" s="4">
        <v>14255</v>
      </c>
      <c r="J2" s="4">
        <v>19200</v>
      </c>
      <c r="K2" s="1">
        <f>H2/12</f>
        <v>846.75</v>
      </c>
      <c r="L2" s="1">
        <f t="shared" ref="L2:M17" si="0">I2/12</f>
        <v>1187.9166666666667</v>
      </c>
      <c r="M2" s="1">
        <f t="shared" si="0"/>
        <v>1600</v>
      </c>
      <c r="N2" t="str">
        <f t="shared" ref="N2:N65" si="1">SUBSTITUTE(
   UPPER(SUBSTITUTE(TRIM(A2), CHAR(160), " ")) &amp; "|" &amp;
   SUBSTITUTE(TRIM(C2), CHAR(160), " ") &amp; "|" &amp;
   SUBSTITUTE(TRIM(D2), CHAR(160), " "),
   "–", "-"
)</f>
        <v>AUVERGNE-RHÔNE-ALPES|01 - Ain|CA du Bassin de Bourg-en-Bresse</v>
      </c>
      <c r="O2" t="str">
        <f t="shared" ref="O2:O65" si="2">IF(A2="Hauts-de-France", "HDF",
IF(A2="Île-de-France", "IDF",
IF(OR(A2="Guadeloupe", A2="Martinique", A2="Guyane", A2="La Réunion", A2="Mayotte"), "OM", "Province")))</f>
        <v>Province</v>
      </c>
    </row>
    <row r="3" spans="1:15" x14ac:dyDescent="0.25">
      <c r="A3" t="s">
        <v>15</v>
      </c>
      <c r="B3" t="str">
        <f t="shared" ref="B3:B66" si="3">MID(C3,6,LEN(C3))</f>
        <v>Ain</v>
      </c>
      <c r="C3" t="s">
        <v>17</v>
      </c>
      <c r="D3" t="s">
        <v>22</v>
      </c>
      <c r="E3">
        <v>240100750</v>
      </c>
      <c r="F3">
        <v>2024</v>
      </c>
      <c r="G3" t="s">
        <v>21</v>
      </c>
      <c r="H3" s="1">
        <v>11652</v>
      </c>
      <c r="I3" s="4">
        <v>17491</v>
      </c>
      <c r="J3" s="4">
        <v>24000</v>
      </c>
      <c r="K3" s="1">
        <f t="shared" ref="K3:M66" si="4">H3/12</f>
        <v>971</v>
      </c>
      <c r="L3" s="1">
        <f t="shared" si="0"/>
        <v>1457.5833333333333</v>
      </c>
      <c r="M3" s="1">
        <f t="shared" si="0"/>
        <v>2000</v>
      </c>
      <c r="N3" t="str">
        <f t="shared" si="1"/>
        <v>AUVERGNE-RHÔNE-ALPES|01 - Ain|CA du Pays de Gex</v>
      </c>
      <c r="O3" t="str">
        <f t="shared" si="2"/>
        <v>Province</v>
      </c>
    </row>
    <row r="4" spans="1:15" x14ac:dyDescent="0.25">
      <c r="A4" t="s">
        <v>15</v>
      </c>
      <c r="B4" t="str">
        <f t="shared" si="3"/>
        <v>Ain</v>
      </c>
      <c r="C4" t="s">
        <v>17</v>
      </c>
      <c r="D4" t="s">
        <v>24</v>
      </c>
      <c r="E4">
        <v>200042935</v>
      </c>
      <c r="F4">
        <v>2024</v>
      </c>
      <c r="G4" t="s">
        <v>21</v>
      </c>
      <c r="H4" s="1">
        <v>10446</v>
      </c>
      <c r="I4" s="4">
        <v>14321</v>
      </c>
      <c r="J4" s="4">
        <v>19317</v>
      </c>
      <c r="K4" s="1">
        <f t="shared" si="4"/>
        <v>870.5</v>
      </c>
      <c r="L4" s="1">
        <f t="shared" si="0"/>
        <v>1193.4166666666667</v>
      </c>
      <c r="M4" s="1">
        <f t="shared" si="0"/>
        <v>1609.75</v>
      </c>
      <c r="N4" t="str">
        <f t="shared" si="1"/>
        <v>AUVERGNE-RHÔNE-ALPES|01 - Ain|CA Haut-Bugey Agglomération</v>
      </c>
      <c r="O4" t="str">
        <f t="shared" si="2"/>
        <v>Province</v>
      </c>
    </row>
    <row r="5" spans="1:15" x14ac:dyDescent="0.25">
      <c r="A5" t="s">
        <v>15</v>
      </c>
      <c r="B5" t="str">
        <f t="shared" si="3"/>
        <v>Ain</v>
      </c>
      <c r="C5" t="s">
        <v>17</v>
      </c>
      <c r="D5" t="s">
        <v>26</v>
      </c>
      <c r="E5">
        <v>200070308</v>
      </c>
      <c r="F5">
        <v>2024</v>
      </c>
      <c r="G5" t="s">
        <v>21</v>
      </c>
      <c r="H5" s="1">
        <v>10025</v>
      </c>
      <c r="I5" s="4">
        <v>13874</v>
      </c>
      <c r="J5" s="4">
        <v>18832</v>
      </c>
      <c r="K5" s="1">
        <f t="shared" si="4"/>
        <v>835.41666666666663</v>
      </c>
      <c r="L5" s="1">
        <f t="shared" si="0"/>
        <v>1156.1666666666667</v>
      </c>
      <c r="M5" s="1">
        <f t="shared" si="0"/>
        <v>1569.3333333333333</v>
      </c>
      <c r="N5" t="str">
        <f t="shared" si="1"/>
        <v>AUVERGNE-RHÔNE-ALPES|01 - Ain|CA Mâconnais Beaujolais Agglomération</v>
      </c>
      <c r="O5" t="str">
        <f t="shared" si="2"/>
        <v>Province</v>
      </c>
    </row>
    <row r="6" spans="1:15" x14ac:dyDescent="0.25">
      <c r="A6" t="s">
        <v>15</v>
      </c>
      <c r="B6" t="str">
        <f t="shared" si="3"/>
        <v>Ain</v>
      </c>
      <c r="C6" t="s">
        <v>17</v>
      </c>
      <c r="D6" t="s">
        <v>28</v>
      </c>
      <c r="E6">
        <v>200040590</v>
      </c>
      <c r="F6">
        <v>2024</v>
      </c>
      <c r="G6" t="s">
        <v>21</v>
      </c>
      <c r="H6" s="1">
        <v>10200</v>
      </c>
      <c r="I6" s="4">
        <v>14344</v>
      </c>
      <c r="J6" s="4">
        <v>18784</v>
      </c>
      <c r="K6" s="1">
        <f t="shared" si="4"/>
        <v>850</v>
      </c>
      <c r="L6" s="1">
        <f t="shared" si="0"/>
        <v>1195.3333333333333</v>
      </c>
      <c r="M6" s="1">
        <f t="shared" si="0"/>
        <v>1565.3333333333333</v>
      </c>
      <c r="N6" t="str">
        <f t="shared" si="1"/>
        <v>AUVERGNE-RHÔNE-ALPES|01 - Ain|CA Villefranche Beaujolais Saône</v>
      </c>
      <c r="O6" t="str">
        <f t="shared" si="2"/>
        <v>Province</v>
      </c>
    </row>
    <row r="7" spans="1:15" x14ac:dyDescent="0.25">
      <c r="A7" t="s">
        <v>15</v>
      </c>
      <c r="B7" t="str">
        <f t="shared" si="3"/>
        <v>Ain</v>
      </c>
      <c r="C7" t="s">
        <v>17</v>
      </c>
      <c r="D7" t="s">
        <v>30</v>
      </c>
      <c r="E7">
        <v>200040350</v>
      </c>
      <c r="F7">
        <v>2024</v>
      </c>
      <c r="G7" t="s">
        <v>21</v>
      </c>
      <c r="H7" s="1">
        <v>11076</v>
      </c>
      <c r="I7" s="4">
        <v>15056</v>
      </c>
      <c r="J7" s="4">
        <v>19200</v>
      </c>
      <c r="K7" s="1">
        <f t="shared" si="4"/>
        <v>923</v>
      </c>
      <c r="L7" s="1">
        <f t="shared" si="0"/>
        <v>1254.6666666666667</v>
      </c>
      <c r="M7" s="1">
        <f t="shared" si="0"/>
        <v>1600</v>
      </c>
      <c r="N7" t="str">
        <f t="shared" si="1"/>
        <v>AUVERGNE-RHÔNE-ALPES|01 - Ain|CC Bugey Sud</v>
      </c>
      <c r="O7" t="str">
        <f t="shared" si="2"/>
        <v>Province</v>
      </c>
    </row>
    <row r="8" spans="1:15" x14ac:dyDescent="0.25">
      <c r="A8" t="s">
        <v>15</v>
      </c>
      <c r="B8" t="str">
        <f t="shared" si="3"/>
        <v>Ain</v>
      </c>
      <c r="C8" t="s">
        <v>17</v>
      </c>
      <c r="D8" t="s">
        <v>32</v>
      </c>
      <c r="E8">
        <v>240100610</v>
      </c>
      <c r="F8">
        <v>2024</v>
      </c>
      <c r="G8" t="s">
        <v>21</v>
      </c>
      <c r="H8" s="1">
        <v>11767</v>
      </c>
      <c r="I8" s="4">
        <v>16069</v>
      </c>
      <c r="J8" s="4">
        <v>20915</v>
      </c>
      <c r="K8" s="1">
        <f t="shared" si="4"/>
        <v>980.58333333333337</v>
      </c>
      <c r="L8" s="1">
        <f t="shared" si="0"/>
        <v>1339.0833333333333</v>
      </c>
      <c r="M8" s="1">
        <f t="shared" si="0"/>
        <v>1742.9166666666667</v>
      </c>
      <c r="N8" t="str">
        <f t="shared" si="1"/>
        <v>AUVERGNE-RHÔNE-ALPES|01 - Ain|CC de la Côtière à Montluel</v>
      </c>
      <c r="O8" t="str">
        <f t="shared" si="2"/>
        <v>Province</v>
      </c>
    </row>
    <row r="9" spans="1:15" x14ac:dyDescent="0.25">
      <c r="A9" t="s">
        <v>15</v>
      </c>
      <c r="B9" t="str">
        <f t="shared" si="3"/>
        <v>Ain</v>
      </c>
      <c r="C9" t="s">
        <v>17</v>
      </c>
      <c r="D9" t="s">
        <v>34</v>
      </c>
      <c r="E9">
        <v>240100883</v>
      </c>
      <c r="F9">
        <v>2024</v>
      </c>
      <c r="G9" t="s">
        <v>21</v>
      </c>
      <c r="H9" s="1">
        <v>11010</v>
      </c>
      <c r="I9" s="4">
        <v>14744</v>
      </c>
      <c r="J9" s="4">
        <v>19200</v>
      </c>
      <c r="K9" s="1">
        <f t="shared" si="4"/>
        <v>917.5</v>
      </c>
      <c r="L9" s="1">
        <f t="shared" si="0"/>
        <v>1228.6666666666667</v>
      </c>
      <c r="M9" s="1">
        <f t="shared" si="0"/>
        <v>1600</v>
      </c>
      <c r="N9" t="str">
        <f t="shared" si="1"/>
        <v>AUVERGNE-RHÔNE-ALPES|01 - Ain|CC de la Plaine de l'Ain</v>
      </c>
      <c r="O9" t="str">
        <f t="shared" si="2"/>
        <v>Province</v>
      </c>
    </row>
    <row r="10" spans="1:15" x14ac:dyDescent="0.25">
      <c r="A10" t="s">
        <v>15</v>
      </c>
      <c r="B10" t="str">
        <f t="shared" si="3"/>
        <v>Allier</v>
      </c>
      <c r="C10" t="s">
        <v>37</v>
      </c>
      <c r="D10" t="s">
        <v>38</v>
      </c>
      <c r="E10">
        <v>200071082</v>
      </c>
      <c r="F10">
        <v>2024</v>
      </c>
      <c r="G10" t="s">
        <v>21</v>
      </c>
      <c r="H10" s="1">
        <v>7870</v>
      </c>
      <c r="I10" s="4">
        <v>11472</v>
      </c>
      <c r="J10" s="4">
        <v>15718</v>
      </c>
      <c r="K10" s="1">
        <f t="shared" si="4"/>
        <v>655.83333333333337</v>
      </c>
      <c r="L10" s="1">
        <f t="shared" si="0"/>
        <v>956</v>
      </c>
      <c r="M10" s="1">
        <f t="shared" si="0"/>
        <v>1309.8333333333333</v>
      </c>
      <c r="N10" t="str">
        <f t="shared" si="1"/>
        <v>AUVERGNE-RHÔNE-ALPES|03 - Allier|CA Montluçon Communauté</v>
      </c>
      <c r="O10" t="str">
        <f t="shared" si="2"/>
        <v>Province</v>
      </c>
    </row>
    <row r="11" spans="1:15" x14ac:dyDescent="0.25">
      <c r="A11" t="s">
        <v>15</v>
      </c>
      <c r="B11" t="str">
        <f t="shared" si="3"/>
        <v>Allier</v>
      </c>
      <c r="C11" t="s">
        <v>37</v>
      </c>
      <c r="D11" t="s">
        <v>40</v>
      </c>
      <c r="E11">
        <v>200071140</v>
      </c>
      <c r="F11">
        <v>2024</v>
      </c>
      <c r="G11" t="s">
        <v>21</v>
      </c>
      <c r="H11" s="1">
        <v>8722</v>
      </c>
      <c r="I11" s="4">
        <v>12426</v>
      </c>
      <c r="J11" s="4">
        <v>17916</v>
      </c>
      <c r="K11" s="1">
        <f t="shared" si="4"/>
        <v>726.83333333333337</v>
      </c>
      <c r="L11" s="1">
        <f t="shared" si="0"/>
        <v>1035.5</v>
      </c>
      <c r="M11" s="1">
        <f t="shared" si="0"/>
        <v>1493</v>
      </c>
      <c r="N11" t="str">
        <f t="shared" si="1"/>
        <v>AUVERGNE-RHÔNE-ALPES|03 - Allier|CA Moulins Communauté</v>
      </c>
      <c r="O11" t="str">
        <f t="shared" si="2"/>
        <v>Province</v>
      </c>
    </row>
    <row r="12" spans="1:15" x14ac:dyDescent="0.25">
      <c r="A12" t="s">
        <v>15</v>
      </c>
      <c r="B12" t="str">
        <f t="shared" si="3"/>
        <v>Allier</v>
      </c>
      <c r="C12" t="s">
        <v>37</v>
      </c>
      <c r="D12" t="s">
        <v>42</v>
      </c>
      <c r="E12">
        <v>200071363</v>
      </c>
      <c r="F12">
        <v>2024</v>
      </c>
      <c r="G12" t="s">
        <v>21</v>
      </c>
      <c r="H12" s="1">
        <v>8870</v>
      </c>
      <c r="I12" s="4">
        <v>12720</v>
      </c>
      <c r="J12" s="4">
        <v>17215</v>
      </c>
      <c r="K12" s="1">
        <f t="shared" si="4"/>
        <v>739.16666666666663</v>
      </c>
      <c r="L12" s="1">
        <f t="shared" si="0"/>
        <v>1060</v>
      </c>
      <c r="M12" s="1">
        <f t="shared" si="0"/>
        <v>1434.5833333333333</v>
      </c>
      <c r="N12" t="str">
        <f t="shared" si="1"/>
        <v>AUVERGNE-RHÔNE-ALPES|03 - Allier|CA Vichy Communauté</v>
      </c>
      <c r="O12" t="str">
        <f t="shared" si="2"/>
        <v>Province</v>
      </c>
    </row>
    <row r="13" spans="1:15" x14ac:dyDescent="0.25">
      <c r="A13" t="s">
        <v>15</v>
      </c>
      <c r="B13" t="str">
        <f t="shared" si="3"/>
        <v>Ardèche</v>
      </c>
      <c r="C13" t="s">
        <v>45</v>
      </c>
      <c r="D13" t="s">
        <v>46</v>
      </c>
      <c r="E13">
        <v>200072015</v>
      </c>
      <c r="F13">
        <v>2024</v>
      </c>
      <c r="G13" t="s">
        <v>21</v>
      </c>
      <c r="H13" s="1">
        <v>9866</v>
      </c>
      <c r="I13" s="4">
        <v>13320</v>
      </c>
      <c r="J13" s="4">
        <v>18347</v>
      </c>
      <c r="K13" s="1">
        <f t="shared" si="4"/>
        <v>822.16666666666663</v>
      </c>
      <c r="L13" s="1">
        <f t="shared" si="0"/>
        <v>1110</v>
      </c>
      <c r="M13" s="1">
        <f t="shared" si="0"/>
        <v>1528.9166666666667</v>
      </c>
      <c r="N13" t="str">
        <f t="shared" si="1"/>
        <v>AUVERGNE-RHÔNE-ALPES|07 - Ardèche|CA Annonay Rhône Agglo</v>
      </c>
      <c r="O13" t="str">
        <f t="shared" si="2"/>
        <v>Province</v>
      </c>
    </row>
    <row r="14" spans="1:15" x14ac:dyDescent="0.25">
      <c r="A14" t="s">
        <v>15</v>
      </c>
      <c r="B14" t="str">
        <f t="shared" si="3"/>
        <v>Ardèche</v>
      </c>
      <c r="C14" t="s">
        <v>45</v>
      </c>
      <c r="D14" t="s">
        <v>48</v>
      </c>
      <c r="E14">
        <v>200073096</v>
      </c>
      <c r="F14">
        <v>2024</v>
      </c>
      <c r="G14" t="s">
        <v>21</v>
      </c>
      <c r="H14" s="1">
        <v>9942</v>
      </c>
      <c r="I14" s="4">
        <v>12875</v>
      </c>
      <c r="J14" s="4">
        <v>17086</v>
      </c>
      <c r="K14" s="1">
        <f t="shared" si="4"/>
        <v>828.5</v>
      </c>
      <c r="L14" s="1">
        <f t="shared" si="0"/>
        <v>1072.9166666666667</v>
      </c>
      <c r="M14" s="1">
        <f t="shared" si="0"/>
        <v>1423.8333333333333</v>
      </c>
      <c r="N14" t="str">
        <f t="shared" si="1"/>
        <v>AUVERGNE-RHÔNE-ALPES|07 - Ardèche|CA Arche Agglo</v>
      </c>
      <c r="O14" t="str">
        <f t="shared" si="2"/>
        <v>Province</v>
      </c>
    </row>
    <row r="15" spans="1:15" x14ac:dyDescent="0.25">
      <c r="A15" t="s">
        <v>15</v>
      </c>
      <c r="B15" t="str">
        <f t="shared" si="3"/>
        <v>Ardèche</v>
      </c>
      <c r="C15" t="s">
        <v>45</v>
      </c>
      <c r="D15" t="s">
        <v>50</v>
      </c>
      <c r="E15">
        <v>200071413</v>
      </c>
      <c r="F15">
        <v>2024</v>
      </c>
      <c r="G15" t="s">
        <v>21</v>
      </c>
      <c r="H15" s="1">
        <v>9956</v>
      </c>
      <c r="I15" s="4">
        <v>13015</v>
      </c>
      <c r="J15" s="4">
        <v>18179</v>
      </c>
      <c r="K15" s="1">
        <f t="shared" si="4"/>
        <v>829.66666666666663</v>
      </c>
      <c r="L15" s="1">
        <f t="shared" si="0"/>
        <v>1084.5833333333333</v>
      </c>
      <c r="M15" s="1">
        <f t="shared" si="0"/>
        <v>1514.9166666666667</v>
      </c>
      <c r="N15" t="str">
        <f t="shared" si="1"/>
        <v>AUVERGNE-RHÔNE-ALPES|07 - Ardèche|CA Privas Centre Ardèche</v>
      </c>
      <c r="O15" t="str">
        <f t="shared" si="2"/>
        <v>Province</v>
      </c>
    </row>
    <row r="16" spans="1:15" x14ac:dyDescent="0.25">
      <c r="A16" t="s">
        <v>15</v>
      </c>
      <c r="B16" t="str">
        <f t="shared" si="3"/>
        <v>Ardèche</v>
      </c>
      <c r="C16" t="s">
        <v>45</v>
      </c>
      <c r="D16" t="s">
        <v>52</v>
      </c>
      <c r="E16">
        <v>200071405</v>
      </c>
      <c r="F16">
        <v>2024</v>
      </c>
      <c r="G16" t="s">
        <v>21</v>
      </c>
      <c r="H16" s="1">
        <v>9602</v>
      </c>
      <c r="I16" s="4">
        <v>12608</v>
      </c>
      <c r="J16" s="4">
        <v>16800</v>
      </c>
      <c r="K16" s="1">
        <f t="shared" si="4"/>
        <v>800.16666666666663</v>
      </c>
      <c r="L16" s="1">
        <f t="shared" si="0"/>
        <v>1050.6666666666667</v>
      </c>
      <c r="M16" s="1">
        <f t="shared" si="0"/>
        <v>1400</v>
      </c>
      <c r="N16" t="str">
        <f t="shared" si="1"/>
        <v>AUVERGNE-RHÔNE-ALPES|07 - Ardèche|CC Ardèche Rhône Coiron</v>
      </c>
      <c r="O16" t="str">
        <f t="shared" si="2"/>
        <v>Province</v>
      </c>
    </row>
    <row r="17" spans="1:15" x14ac:dyDescent="0.25">
      <c r="A17" t="s">
        <v>15</v>
      </c>
      <c r="B17" t="str">
        <f t="shared" si="3"/>
        <v>Ardèche</v>
      </c>
      <c r="C17" t="s">
        <v>45</v>
      </c>
      <c r="D17" t="s">
        <v>54</v>
      </c>
      <c r="E17">
        <v>200035129</v>
      </c>
      <c r="F17">
        <v>2024</v>
      </c>
      <c r="G17" t="s">
        <v>21</v>
      </c>
      <c r="H17" s="1">
        <v>7365</v>
      </c>
      <c r="I17" s="4">
        <v>11526</v>
      </c>
      <c r="J17" s="4">
        <v>14830</v>
      </c>
      <c r="K17" s="1">
        <f t="shared" si="4"/>
        <v>613.75</v>
      </c>
      <c r="L17" s="1">
        <f t="shared" si="0"/>
        <v>960.5</v>
      </c>
      <c r="M17" s="1">
        <f t="shared" si="0"/>
        <v>1235.8333333333333</v>
      </c>
      <c r="N17" t="str">
        <f t="shared" si="1"/>
        <v>AUVERGNE-RHÔNE-ALPES|07 - Ardèche|CC de Cèze Cévennes</v>
      </c>
      <c r="O17" t="str">
        <f t="shared" si="2"/>
        <v>Province</v>
      </c>
    </row>
    <row r="18" spans="1:15" x14ac:dyDescent="0.25">
      <c r="A18" t="s">
        <v>15</v>
      </c>
      <c r="B18" t="str">
        <f t="shared" si="3"/>
        <v>Ardèche</v>
      </c>
      <c r="C18" t="s">
        <v>45</v>
      </c>
      <c r="D18" t="s">
        <v>56</v>
      </c>
      <c r="E18">
        <v>200073245</v>
      </c>
      <c r="F18">
        <v>2024</v>
      </c>
      <c r="G18" t="s">
        <v>21</v>
      </c>
      <c r="H18" s="1">
        <v>8898</v>
      </c>
      <c r="I18" s="4">
        <v>12360</v>
      </c>
      <c r="J18" s="4">
        <v>16800</v>
      </c>
      <c r="K18" s="1">
        <f t="shared" si="4"/>
        <v>741.5</v>
      </c>
      <c r="L18" s="1">
        <f t="shared" si="4"/>
        <v>1030</v>
      </c>
      <c r="M18" s="1">
        <f t="shared" si="4"/>
        <v>1400</v>
      </c>
      <c r="N18" t="str">
        <f t="shared" si="1"/>
        <v>AUVERGNE-RHÔNE-ALPES|07 - Ardèche|CC du Bassin d'Aubenas</v>
      </c>
      <c r="O18" t="str">
        <f t="shared" si="2"/>
        <v>Province</v>
      </c>
    </row>
    <row r="19" spans="1:15" x14ac:dyDescent="0.25">
      <c r="A19" t="s">
        <v>15</v>
      </c>
      <c r="B19" t="str">
        <f t="shared" si="3"/>
        <v>Ardèche</v>
      </c>
      <c r="C19" t="s">
        <v>45</v>
      </c>
      <c r="D19" t="s">
        <v>58</v>
      </c>
      <c r="E19">
        <v>200040491</v>
      </c>
      <c r="F19">
        <v>2024</v>
      </c>
      <c r="G19" t="s">
        <v>21</v>
      </c>
      <c r="H19" s="1">
        <v>10320</v>
      </c>
      <c r="I19" s="4">
        <v>13652</v>
      </c>
      <c r="J19" s="4">
        <v>17943</v>
      </c>
      <c r="K19" s="1">
        <f t="shared" si="4"/>
        <v>860</v>
      </c>
      <c r="L19" s="1">
        <f t="shared" si="4"/>
        <v>1137.6666666666667</v>
      </c>
      <c r="M19" s="1">
        <f t="shared" si="4"/>
        <v>1495.25</v>
      </c>
      <c r="N19" t="str">
        <f t="shared" si="1"/>
        <v>AUVERGNE-RHÔNE-ALPES|07 - Ardèche|CC Porte de Dromardèche</v>
      </c>
      <c r="O19" t="str">
        <f t="shared" si="2"/>
        <v>Province</v>
      </c>
    </row>
    <row r="20" spans="1:15" x14ac:dyDescent="0.25">
      <c r="A20" t="s">
        <v>15</v>
      </c>
      <c r="B20" t="str">
        <f t="shared" si="3"/>
        <v>Ardèche</v>
      </c>
      <c r="C20" t="s">
        <v>45</v>
      </c>
      <c r="D20" t="s">
        <v>60</v>
      </c>
      <c r="E20">
        <v>200041366</v>
      </c>
      <c r="F20">
        <v>2024</v>
      </c>
      <c r="G20" t="s">
        <v>21</v>
      </c>
      <c r="H20" s="1">
        <v>10719</v>
      </c>
      <c r="I20" s="4">
        <v>14544</v>
      </c>
      <c r="J20" s="4">
        <v>19007</v>
      </c>
      <c r="K20" s="1">
        <f t="shared" si="4"/>
        <v>893.25</v>
      </c>
      <c r="L20" s="1">
        <f t="shared" si="4"/>
        <v>1212</v>
      </c>
      <c r="M20" s="1">
        <f t="shared" si="4"/>
        <v>1583.9166666666667</v>
      </c>
      <c r="N20" t="str">
        <f t="shared" si="1"/>
        <v>AUVERGNE-RHÔNE-ALPES|07 - Ardèche|CC Rhône Crussol</v>
      </c>
      <c r="O20" t="str">
        <f t="shared" si="2"/>
        <v>Province</v>
      </c>
    </row>
    <row r="21" spans="1:15" x14ac:dyDescent="0.25">
      <c r="A21" t="s">
        <v>15</v>
      </c>
      <c r="B21" t="str">
        <f t="shared" si="3"/>
        <v>Cantal</v>
      </c>
      <c r="C21" t="s">
        <v>63</v>
      </c>
      <c r="D21" t="s">
        <v>1086</v>
      </c>
      <c r="E21">
        <v>241500230</v>
      </c>
      <c r="F21">
        <v>2024</v>
      </c>
      <c r="G21" t="s">
        <v>21</v>
      </c>
      <c r="H21" s="1">
        <v>9095</v>
      </c>
      <c r="I21" s="4">
        <v>12864</v>
      </c>
      <c r="J21" s="4">
        <v>18048</v>
      </c>
      <c r="K21" s="1">
        <f t="shared" si="4"/>
        <v>757.91666666666663</v>
      </c>
      <c r="L21" s="1">
        <f t="shared" si="4"/>
        <v>1072</v>
      </c>
      <c r="M21" s="1">
        <f t="shared" si="4"/>
        <v>1504</v>
      </c>
      <c r="N21" t="str">
        <f t="shared" si="1"/>
        <v>AUVERGNE-RHÔNE-ALPES|15 - Cantal|Aurillac Agglomération</v>
      </c>
      <c r="O21" t="str">
        <f t="shared" si="2"/>
        <v>Province</v>
      </c>
    </row>
    <row r="22" spans="1:15" x14ac:dyDescent="0.25">
      <c r="A22" t="s">
        <v>15</v>
      </c>
      <c r="B22" t="str">
        <f t="shared" si="3"/>
        <v>Drôme</v>
      </c>
      <c r="C22" t="s">
        <v>67</v>
      </c>
      <c r="D22" t="s">
        <v>48</v>
      </c>
      <c r="E22">
        <v>200073096</v>
      </c>
      <c r="F22">
        <v>2024</v>
      </c>
      <c r="G22" t="s">
        <v>21</v>
      </c>
      <c r="H22" s="1">
        <v>9942</v>
      </c>
      <c r="I22" s="4">
        <v>12875</v>
      </c>
      <c r="J22" s="4">
        <v>17086</v>
      </c>
      <c r="K22" s="1">
        <f t="shared" si="4"/>
        <v>828.5</v>
      </c>
      <c r="L22" s="1">
        <f t="shared" si="4"/>
        <v>1072.9166666666667</v>
      </c>
      <c r="M22" s="1">
        <f t="shared" si="4"/>
        <v>1423.8333333333333</v>
      </c>
      <c r="N22" t="str">
        <f t="shared" si="1"/>
        <v>AUVERGNE-RHÔNE-ALPES|26 - Drôme|CA Arche Agglo</v>
      </c>
      <c r="O22" t="str">
        <f t="shared" si="2"/>
        <v>Province</v>
      </c>
    </row>
    <row r="23" spans="1:15" x14ac:dyDescent="0.25">
      <c r="A23" t="s">
        <v>15</v>
      </c>
      <c r="B23" t="str">
        <f t="shared" si="3"/>
        <v>Drôme</v>
      </c>
      <c r="C23" t="s">
        <v>67</v>
      </c>
      <c r="D23" t="s">
        <v>68</v>
      </c>
      <c r="E23">
        <v>200040459</v>
      </c>
      <c r="F23">
        <v>2024</v>
      </c>
      <c r="G23" t="s">
        <v>21</v>
      </c>
      <c r="H23" s="1">
        <v>8963</v>
      </c>
      <c r="I23" s="4">
        <v>12264</v>
      </c>
      <c r="J23" s="4">
        <v>16692</v>
      </c>
      <c r="K23" s="1">
        <f t="shared" si="4"/>
        <v>746.91666666666663</v>
      </c>
      <c r="L23" s="1">
        <f t="shared" si="4"/>
        <v>1022</v>
      </c>
      <c r="M23" s="1">
        <f t="shared" si="4"/>
        <v>1391</v>
      </c>
      <c r="N23" t="str">
        <f t="shared" si="1"/>
        <v>AUVERGNE-RHÔNE-ALPES|26 - Drôme|CA Montélimar Agglomération</v>
      </c>
      <c r="O23" t="str">
        <f t="shared" si="2"/>
        <v>Province</v>
      </c>
    </row>
    <row r="24" spans="1:15" x14ac:dyDescent="0.25">
      <c r="A24" t="s">
        <v>15</v>
      </c>
      <c r="B24" t="str">
        <f t="shared" si="3"/>
        <v>Drôme</v>
      </c>
      <c r="C24" t="s">
        <v>67</v>
      </c>
      <c r="D24" t="s">
        <v>70</v>
      </c>
      <c r="E24">
        <v>200068781</v>
      </c>
      <c r="F24">
        <v>2024</v>
      </c>
      <c r="G24" t="s">
        <v>21</v>
      </c>
      <c r="H24" s="1">
        <v>9701</v>
      </c>
      <c r="I24" s="4">
        <v>13291</v>
      </c>
      <c r="J24" s="4">
        <v>18016</v>
      </c>
      <c r="K24" s="1">
        <f t="shared" si="4"/>
        <v>808.41666666666663</v>
      </c>
      <c r="L24" s="1">
        <f t="shared" si="4"/>
        <v>1107.5833333333333</v>
      </c>
      <c r="M24" s="1">
        <f t="shared" si="4"/>
        <v>1501.3333333333333</v>
      </c>
      <c r="N24" t="str">
        <f t="shared" si="1"/>
        <v>AUVERGNE-RHÔNE-ALPES|26 - Drôme|CA Valence Romans Agglo</v>
      </c>
      <c r="O24" t="str">
        <f t="shared" si="2"/>
        <v>Province</v>
      </c>
    </row>
    <row r="25" spans="1:15" x14ac:dyDescent="0.25">
      <c r="A25" t="s">
        <v>15</v>
      </c>
      <c r="B25" t="str">
        <f t="shared" si="3"/>
        <v>Drôme</v>
      </c>
      <c r="C25" t="s">
        <v>67</v>
      </c>
      <c r="D25" t="s">
        <v>1087</v>
      </c>
      <c r="E25">
        <v>200042901</v>
      </c>
      <c r="F25">
        <v>2024</v>
      </c>
      <c r="G25" t="s">
        <v>21</v>
      </c>
      <c r="H25" s="1">
        <v>9000</v>
      </c>
      <c r="I25" s="4">
        <v>12358</v>
      </c>
      <c r="J25" s="4">
        <v>17100</v>
      </c>
      <c r="K25" s="1">
        <f t="shared" si="4"/>
        <v>750</v>
      </c>
      <c r="L25" s="1">
        <f t="shared" si="4"/>
        <v>1029.8333333333333</v>
      </c>
      <c r="M25" s="1">
        <f t="shared" si="4"/>
        <v>1425</v>
      </c>
      <c r="N25" t="str">
        <f t="shared" si="1"/>
        <v>AUVERGNE-RHÔNE-ALPES|26 - Drôme|CC Drôme Sud Provence</v>
      </c>
      <c r="O25" t="str">
        <f t="shared" si="2"/>
        <v>Province</v>
      </c>
    </row>
    <row r="26" spans="1:15" x14ac:dyDescent="0.25">
      <c r="A26" t="s">
        <v>15</v>
      </c>
      <c r="B26" t="str">
        <f t="shared" si="3"/>
        <v>Drôme</v>
      </c>
      <c r="C26" t="s">
        <v>67</v>
      </c>
      <c r="D26" t="s">
        <v>72</v>
      </c>
      <c r="E26">
        <v>242600252</v>
      </c>
      <c r="F26">
        <v>2024</v>
      </c>
      <c r="G26" t="s">
        <v>21</v>
      </c>
      <c r="H26" s="1">
        <v>9940</v>
      </c>
      <c r="I26" s="4">
        <v>13384</v>
      </c>
      <c r="J26" s="4">
        <v>17832</v>
      </c>
      <c r="K26" s="1">
        <f t="shared" si="4"/>
        <v>828.33333333333337</v>
      </c>
      <c r="L26" s="1">
        <f t="shared" si="4"/>
        <v>1115.3333333333333</v>
      </c>
      <c r="M26" s="1">
        <f t="shared" si="4"/>
        <v>1486</v>
      </c>
      <c r="N26" t="str">
        <f t="shared" si="1"/>
        <v>AUVERGNE-RHÔNE-ALPES|26 - Drôme|CC du Val de Drôme en Biovallée</v>
      </c>
      <c r="O26" t="str">
        <f t="shared" si="2"/>
        <v>Province</v>
      </c>
    </row>
    <row r="27" spans="1:15" x14ac:dyDescent="0.25">
      <c r="A27" t="s">
        <v>15</v>
      </c>
      <c r="B27" t="str">
        <f t="shared" si="3"/>
        <v>Drôme</v>
      </c>
      <c r="C27" t="s">
        <v>67</v>
      </c>
      <c r="D27" t="s">
        <v>1088</v>
      </c>
      <c r="E27">
        <v>200040681</v>
      </c>
      <c r="F27">
        <v>2024</v>
      </c>
      <c r="G27" t="s">
        <v>21</v>
      </c>
      <c r="H27" s="1">
        <v>8450</v>
      </c>
      <c r="I27" s="4">
        <v>12345</v>
      </c>
      <c r="J27" s="4">
        <v>17133</v>
      </c>
      <c r="K27" s="1">
        <f t="shared" si="4"/>
        <v>704.16666666666663</v>
      </c>
      <c r="L27" s="1">
        <f t="shared" si="4"/>
        <v>1028.75</v>
      </c>
      <c r="M27" s="1">
        <f t="shared" si="4"/>
        <v>1427.75</v>
      </c>
      <c r="N27" t="str">
        <f t="shared" si="1"/>
        <v>AUVERGNE-RHÔNE-ALPES|26 - Drôme|CC Enclave des Papes - Pays de Grignan</v>
      </c>
      <c r="O27" t="str">
        <f t="shared" si="2"/>
        <v>Province</v>
      </c>
    </row>
    <row r="28" spans="1:15" x14ac:dyDescent="0.25">
      <c r="A28" t="s">
        <v>15</v>
      </c>
      <c r="B28" t="str">
        <f t="shared" si="3"/>
        <v>Drôme</v>
      </c>
      <c r="C28" t="s">
        <v>67</v>
      </c>
      <c r="D28" t="s">
        <v>58</v>
      </c>
      <c r="E28">
        <v>200040491</v>
      </c>
      <c r="F28">
        <v>2024</v>
      </c>
      <c r="G28" t="s">
        <v>21</v>
      </c>
      <c r="H28" s="1">
        <v>10320</v>
      </c>
      <c r="I28" s="4">
        <v>13652</v>
      </c>
      <c r="J28" s="4">
        <v>17943</v>
      </c>
      <c r="K28" s="1">
        <f t="shared" si="4"/>
        <v>860</v>
      </c>
      <c r="L28" s="1">
        <f t="shared" si="4"/>
        <v>1137.6666666666667</v>
      </c>
      <c r="M28" s="1">
        <f t="shared" si="4"/>
        <v>1495.25</v>
      </c>
      <c r="N28" t="str">
        <f t="shared" si="1"/>
        <v>AUVERGNE-RHÔNE-ALPES|26 - Drôme|CC Porte de Dromardèche</v>
      </c>
      <c r="O28" t="str">
        <f t="shared" si="2"/>
        <v>Province</v>
      </c>
    </row>
    <row r="29" spans="1:15" x14ac:dyDescent="0.25">
      <c r="A29" t="s">
        <v>15</v>
      </c>
      <c r="B29" t="str">
        <f t="shared" si="3"/>
        <v>Isère</v>
      </c>
      <c r="C29" t="s">
        <v>75</v>
      </c>
      <c r="D29" t="s">
        <v>76</v>
      </c>
      <c r="E29">
        <v>243800984</v>
      </c>
      <c r="F29">
        <v>2024</v>
      </c>
      <c r="G29" t="s">
        <v>21</v>
      </c>
      <c r="H29" s="1">
        <v>10657</v>
      </c>
      <c r="I29" s="4">
        <v>14418</v>
      </c>
      <c r="J29" s="4">
        <v>19200</v>
      </c>
      <c r="K29" s="1">
        <f t="shared" si="4"/>
        <v>888.08333333333337</v>
      </c>
      <c r="L29" s="1">
        <f t="shared" si="4"/>
        <v>1201.5</v>
      </c>
      <c r="M29" s="1">
        <f t="shared" si="4"/>
        <v>1600</v>
      </c>
      <c r="N29" t="str">
        <f t="shared" si="1"/>
        <v>AUVERGNE-RHÔNE-ALPES|38 - Isère|CA du Pays Voironnais</v>
      </c>
      <c r="O29" t="str">
        <f t="shared" si="2"/>
        <v>Province</v>
      </c>
    </row>
    <row r="30" spans="1:15" x14ac:dyDescent="0.25">
      <c r="A30" t="s">
        <v>15</v>
      </c>
      <c r="B30" t="str">
        <f t="shared" si="3"/>
        <v>Isère</v>
      </c>
      <c r="C30" t="s">
        <v>75</v>
      </c>
      <c r="D30" t="s">
        <v>78</v>
      </c>
      <c r="E30">
        <v>243800604</v>
      </c>
      <c r="F30">
        <v>2024</v>
      </c>
      <c r="G30" t="s">
        <v>21</v>
      </c>
      <c r="H30" s="1">
        <v>10800</v>
      </c>
      <c r="I30" s="4">
        <v>14920</v>
      </c>
      <c r="J30" s="4">
        <v>19680</v>
      </c>
      <c r="K30" s="1">
        <f t="shared" si="4"/>
        <v>900</v>
      </c>
      <c r="L30" s="1">
        <f t="shared" si="4"/>
        <v>1243.3333333333333</v>
      </c>
      <c r="M30" s="1">
        <f t="shared" si="4"/>
        <v>1640</v>
      </c>
      <c r="N30" t="str">
        <f t="shared" si="1"/>
        <v>AUVERGNE-RHÔNE-ALPES|38 - Isère|CA Porte de l'Isère (CAPI)</v>
      </c>
      <c r="O30" t="str">
        <f t="shared" si="2"/>
        <v>Province</v>
      </c>
    </row>
    <row r="31" spans="1:15" x14ac:dyDescent="0.25">
      <c r="A31" t="s">
        <v>15</v>
      </c>
      <c r="B31" t="str">
        <f t="shared" si="3"/>
        <v>Isère</v>
      </c>
      <c r="C31" t="s">
        <v>75</v>
      </c>
      <c r="D31" t="s">
        <v>80</v>
      </c>
      <c r="E31">
        <v>200077014</v>
      </c>
      <c r="F31">
        <v>2024</v>
      </c>
      <c r="G31" t="s">
        <v>21</v>
      </c>
      <c r="H31" s="1">
        <v>10411</v>
      </c>
      <c r="I31" s="4">
        <v>14088</v>
      </c>
      <c r="J31" s="4">
        <v>19054</v>
      </c>
      <c r="K31" s="1">
        <f t="shared" si="4"/>
        <v>867.58333333333337</v>
      </c>
      <c r="L31" s="1">
        <f t="shared" si="4"/>
        <v>1174</v>
      </c>
      <c r="M31" s="1">
        <f t="shared" si="4"/>
        <v>1587.8333333333333</v>
      </c>
      <c r="N31" t="str">
        <f t="shared" si="1"/>
        <v>AUVERGNE-RHÔNE-ALPES|38 - Isère|CA Vienne Condrieu</v>
      </c>
      <c r="O31" t="str">
        <f t="shared" si="2"/>
        <v>Province</v>
      </c>
    </row>
    <row r="32" spans="1:15" x14ac:dyDescent="0.25">
      <c r="A32" t="s">
        <v>15</v>
      </c>
      <c r="B32" t="str">
        <f t="shared" si="3"/>
        <v>Isère</v>
      </c>
      <c r="C32" t="s">
        <v>75</v>
      </c>
      <c r="D32" t="s">
        <v>82</v>
      </c>
      <c r="E32">
        <v>200085751</v>
      </c>
      <c r="F32">
        <v>2024</v>
      </c>
      <c r="G32" t="s">
        <v>21</v>
      </c>
      <c r="H32" s="1">
        <v>9640</v>
      </c>
      <c r="I32" s="4">
        <v>13217</v>
      </c>
      <c r="J32" s="4">
        <v>18286</v>
      </c>
      <c r="K32" s="1">
        <f t="shared" si="4"/>
        <v>803.33333333333337</v>
      </c>
      <c r="L32" s="1">
        <f t="shared" si="4"/>
        <v>1101.4166666666667</v>
      </c>
      <c r="M32" s="1">
        <f t="shared" si="4"/>
        <v>1523.8333333333333</v>
      </c>
      <c r="N32" t="str">
        <f t="shared" si="1"/>
        <v>AUVERGNE-RHÔNE-ALPES|38 - Isère|CC Entre Bièvre et Rhône</v>
      </c>
      <c r="O32" t="str">
        <f t="shared" si="2"/>
        <v>Province</v>
      </c>
    </row>
    <row r="33" spans="1:15" x14ac:dyDescent="0.25">
      <c r="A33" t="s">
        <v>15</v>
      </c>
      <c r="B33" t="str">
        <f t="shared" si="3"/>
        <v>Isère</v>
      </c>
      <c r="C33" t="s">
        <v>75</v>
      </c>
      <c r="D33" t="s">
        <v>84</v>
      </c>
      <c r="E33">
        <v>200040715</v>
      </c>
      <c r="F33">
        <v>2024</v>
      </c>
      <c r="G33" t="s">
        <v>21</v>
      </c>
      <c r="H33" s="1">
        <v>10455</v>
      </c>
      <c r="I33" s="4">
        <v>14436</v>
      </c>
      <c r="J33" s="4">
        <v>19500</v>
      </c>
      <c r="K33" s="1">
        <f t="shared" si="4"/>
        <v>871.25</v>
      </c>
      <c r="L33" s="1">
        <f t="shared" si="4"/>
        <v>1203</v>
      </c>
      <c r="M33" s="1">
        <f t="shared" si="4"/>
        <v>1625</v>
      </c>
      <c r="N33" t="str">
        <f t="shared" si="1"/>
        <v>AUVERGNE-RHÔNE-ALPES|38 - Isère|Grenoble-Alpes-Métropole</v>
      </c>
      <c r="O33" t="str">
        <f t="shared" si="2"/>
        <v>Province</v>
      </c>
    </row>
    <row r="34" spans="1:15" x14ac:dyDescent="0.25">
      <c r="A34" t="s">
        <v>15</v>
      </c>
      <c r="B34" t="str">
        <f t="shared" si="3"/>
        <v>Loire</v>
      </c>
      <c r="C34" t="s">
        <v>87</v>
      </c>
      <c r="D34" t="s">
        <v>88</v>
      </c>
      <c r="E34">
        <v>200035731</v>
      </c>
      <c r="F34">
        <v>2024</v>
      </c>
      <c r="G34" t="s">
        <v>21</v>
      </c>
      <c r="H34" s="1">
        <v>8097</v>
      </c>
      <c r="I34" s="4">
        <v>12306</v>
      </c>
      <c r="J34" s="4">
        <v>17182</v>
      </c>
      <c r="K34" s="1">
        <f t="shared" si="4"/>
        <v>674.75</v>
      </c>
      <c r="L34" s="1">
        <f t="shared" si="4"/>
        <v>1025.5</v>
      </c>
      <c r="M34" s="1">
        <f t="shared" si="4"/>
        <v>1431.8333333333333</v>
      </c>
      <c r="N34" t="str">
        <f t="shared" si="1"/>
        <v>AUVERGNE-RHÔNE-ALPES|42 - Loire|CA Roannais Agglomération</v>
      </c>
      <c r="O34" t="str">
        <f t="shared" si="2"/>
        <v>Province</v>
      </c>
    </row>
    <row r="35" spans="1:15" x14ac:dyDescent="0.25">
      <c r="A35" t="s">
        <v>15</v>
      </c>
      <c r="B35" t="str">
        <f t="shared" si="3"/>
        <v>Loire</v>
      </c>
      <c r="C35" t="s">
        <v>87</v>
      </c>
      <c r="D35" t="s">
        <v>90</v>
      </c>
      <c r="E35">
        <v>200065886</v>
      </c>
      <c r="F35">
        <v>2024</v>
      </c>
      <c r="G35" t="s">
        <v>21</v>
      </c>
      <c r="H35" s="1">
        <v>10144</v>
      </c>
      <c r="I35" s="4">
        <v>13507</v>
      </c>
      <c r="J35" s="4">
        <v>18000</v>
      </c>
      <c r="K35" s="1">
        <f t="shared" si="4"/>
        <v>845.33333333333337</v>
      </c>
      <c r="L35" s="1">
        <f t="shared" si="4"/>
        <v>1125.5833333333333</v>
      </c>
      <c r="M35" s="1">
        <f t="shared" si="4"/>
        <v>1500</v>
      </c>
      <c r="N35" t="str">
        <f t="shared" si="1"/>
        <v>AUVERGNE-RHÔNE-ALPES|42 - Loire|Loire Forez Agglomération (LFA)</v>
      </c>
      <c r="O35" t="str">
        <f t="shared" si="2"/>
        <v>Province</v>
      </c>
    </row>
    <row r="36" spans="1:15" x14ac:dyDescent="0.25">
      <c r="A36" t="s">
        <v>15</v>
      </c>
      <c r="B36" t="str">
        <f t="shared" si="3"/>
        <v>Loire</v>
      </c>
      <c r="C36" t="s">
        <v>87</v>
      </c>
      <c r="D36" t="s">
        <v>92</v>
      </c>
      <c r="E36">
        <v>244200770</v>
      </c>
      <c r="F36">
        <v>2024</v>
      </c>
      <c r="G36" t="s">
        <v>21</v>
      </c>
      <c r="H36" s="1">
        <v>8378</v>
      </c>
      <c r="I36" s="4">
        <v>12176</v>
      </c>
      <c r="J36" s="4">
        <v>17042</v>
      </c>
      <c r="K36" s="1">
        <f t="shared" si="4"/>
        <v>698.16666666666663</v>
      </c>
      <c r="L36" s="1">
        <f t="shared" si="4"/>
        <v>1014.6666666666666</v>
      </c>
      <c r="M36" s="1">
        <f t="shared" si="4"/>
        <v>1420.1666666666667</v>
      </c>
      <c r="N36" t="str">
        <f t="shared" si="1"/>
        <v>AUVERGNE-RHÔNE-ALPES|42 - Loire|Saint-Étienne Métropole</v>
      </c>
      <c r="O36" t="str">
        <f t="shared" si="2"/>
        <v>Province</v>
      </c>
    </row>
    <row r="37" spans="1:15" x14ac:dyDescent="0.25">
      <c r="A37" t="s">
        <v>15</v>
      </c>
      <c r="B37" t="str">
        <f t="shared" si="3"/>
        <v>Haute-Loire</v>
      </c>
      <c r="C37" t="s">
        <v>95</v>
      </c>
      <c r="D37" t="s">
        <v>96</v>
      </c>
      <c r="E37">
        <v>200073419</v>
      </c>
      <c r="F37">
        <v>2024</v>
      </c>
      <c r="G37" t="s">
        <v>21</v>
      </c>
      <c r="H37" s="1">
        <v>9822</v>
      </c>
      <c r="I37" s="4">
        <v>12713</v>
      </c>
      <c r="J37" s="4">
        <v>16810</v>
      </c>
      <c r="K37" s="1">
        <f t="shared" si="4"/>
        <v>818.5</v>
      </c>
      <c r="L37" s="1">
        <f t="shared" si="4"/>
        <v>1059.4166666666667</v>
      </c>
      <c r="M37" s="1">
        <f t="shared" si="4"/>
        <v>1400.8333333333333</v>
      </c>
      <c r="N37" t="str">
        <f t="shared" si="1"/>
        <v>AUVERGNE-RHÔNE-ALPES|43 - Haute-Loire|CA du Puy-en-Velay</v>
      </c>
      <c r="O37" t="str">
        <f t="shared" si="2"/>
        <v>Province</v>
      </c>
    </row>
    <row r="38" spans="1:15" x14ac:dyDescent="0.25">
      <c r="A38" t="s">
        <v>15</v>
      </c>
      <c r="B38" t="str">
        <f t="shared" si="3"/>
        <v>Puy-de-Dôme</v>
      </c>
      <c r="C38" t="s">
        <v>99</v>
      </c>
      <c r="D38" t="s">
        <v>100</v>
      </c>
      <c r="E38">
        <v>200070407</v>
      </c>
      <c r="F38">
        <v>2024</v>
      </c>
      <c r="G38" t="s">
        <v>21</v>
      </c>
      <c r="H38" s="1">
        <v>10200</v>
      </c>
      <c r="I38" s="4">
        <v>13470</v>
      </c>
      <c r="J38" s="4">
        <v>18000</v>
      </c>
      <c r="K38" s="1">
        <f t="shared" si="4"/>
        <v>850</v>
      </c>
      <c r="L38" s="1">
        <f t="shared" si="4"/>
        <v>1122.5</v>
      </c>
      <c r="M38" s="1">
        <f t="shared" si="4"/>
        <v>1500</v>
      </c>
      <c r="N38" t="str">
        <f t="shared" si="1"/>
        <v>AUVERGNE-RHÔNE-ALPES|63 - Puy-de-Dôme|CA Agglo Pays d'Issoire</v>
      </c>
      <c r="O38" t="str">
        <f t="shared" si="2"/>
        <v>Province</v>
      </c>
    </row>
    <row r="39" spans="1:15" x14ac:dyDescent="0.25">
      <c r="A39" t="s">
        <v>15</v>
      </c>
      <c r="B39" t="str">
        <f t="shared" si="3"/>
        <v>Puy-de-Dôme</v>
      </c>
      <c r="C39" t="s">
        <v>99</v>
      </c>
      <c r="D39" t="s">
        <v>102</v>
      </c>
      <c r="E39">
        <v>200070753</v>
      </c>
      <c r="F39">
        <v>2024</v>
      </c>
      <c r="G39" t="s">
        <v>21</v>
      </c>
      <c r="H39" s="1">
        <v>10097</v>
      </c>
      <c r="I39" s="4">
        <v>14019</v>
      </c>
      <c r="J39" s="4">
        <v>18992</v>
      </c>
      <c r="K39" s="1">
        <f t="shared" si="4"/>
        <v>841.41666666666663</v>
      </c>
      <c r="L39" s="1">
        <f t="shared" si="4"/>
        <v>1168.25</v>
      </c>
      <c r="M39" s="1">
        <f t="shared" si="4"/>
        <v>1582.6666666666667</v>
      </c>
      <c r="N39" t="str">
        <f t="shared" si="1"/>
        <v>AUVERGNE-RHÔNE-ALPES|63 - Puy-de-Dôme|CA Riom Limagne et Volcans</v>
      </c>
      <c r="O39" t="str">
        <f t="shared" si="2"/>
        <v>Province</v>
      </c>
    </row>
    <row r="40" spans="1:15" x14ac:dyDescent="0.25">
      <c r="A40" t="s">
        <v>15</v>
      </c>
      <c r="B40" t="str">
        <f t="shared" si="3"/>
        <v>Puy-de-Dôme</v>
      </c>
      <c r="C40" t="s">
        <v>99</v>
      </c>
      <c r="D40" t="s">
        <v>104</v>
      </c>
      <c r="E40">
        <v>200070712</v>
      </c>
      <c r="F40">
        <v>2024</v>
      </c>
      <c r="G40" t="s">
        <v>21</v>
      </c>
      <c r="H40" s="1">
        <v>8797</v>
      </c>
      <c r="I40" s="4">
        <v>11748</v>
      </c>
      <c r="J40" s="4">
        <v>16010</v>
      </c>
      <c r="K40" s="1">
        <f t="shared" si="4"/>
        <v>733.08333333333337</v>
      </c>
      <c r="L40" s="1">
        <f t="shared" si="4"/>
        <v>979</v>
      </c>
      <c r="M40" s="1">
        <f t="shared" si="4"/>
        <v>1334.1666666666667</v>
      </c>
      <c r="N40" t="str">
        <f t="shared" si="1"/>
        <v>AUVERGNE-RHÔNE-ALPES|63 - Puy-de-Dôme|CC Thiers Dore et Montagne</v>
      </c>
      <c r="O40" t="str">
        <f t="shared" si="2"/>
        <v>Province</v>
      </c>
    </row>
    <row r="41" spans="1:15" x14ac:dyDescent="0.25">
      <c r="A41" t="s">
        <v>15</v>
      </c>
      <c r="B41" t="str">
        <f t="shared" si="3"/>
        <v>Puy-de-Dôme</v>
      </c>
      <c r="C41" t="s">
        <v>99</v>
      </c>
      <c r="D41" t="s">
        <v>106</v>
      </c>
      <c r="E41">
        <v>246300701</v>
      </c>
      <c r="F41">
        <v>2024</v>
      </c>
      <c r="G41" t="s">
        <v>21</v>
      </c>
      <c r="H41" s="1">
        <v>9792</v>
      </c>
      <c r="I41" s="4">
        <v>13800</v>
      </c>
      <c r="J41" s="4">
        <v>18708</v>
      </c>
      <c r="K41" s="1">
        <f t="shared" si="4"/>
        <v>816</v>
      </c>
      <c r="L41" s="1">
        <f t="shared" si="4"/>
        <v>1150</v>
      </c>
      <c r="M41" s="1">
        <f t="shared" si="4"/>
        <v>1559</v>
      </c>
      <c r="N41" t="str">
        <f t="shared" si="1"/>
        <v>AUVERGNE-RHÔNE-ALPES|63 - Puy-de-Dôme|Clermont Auvergne Métropole</v>
      </c>
      <c r="O41" t="str">
        <f t="shared" si="2"/>
        <v>Province</v>
      </c>
    </row>
    <row r="42" spans="1:15" x14ac:dyDescent="0.25">
      <c r="A42" t="s">
        <v>15</v>
      </c>
      <c r="B42" t="str">
        <f t="shared" si="3"/>
        <v>Rhône</v>
      </c>
      <c r="C42" t="s">
        <v>109</v>
      </c>
      <c r="D42" t="s">
        <v>110</v>
      </c>
      <c r="E42">
        <v>200040566</v>
      </c>
      <c r="F42">
        <v>2024</v>
      </c>
      <c r="G42" t="s">
        <v>21</v>
      </c>
      <c r="H42" s="1">
        <v>9677</v>
      </c>
      <c r="I42" s="4">
        <v>13200</v>
      </c>
      <c r="J42" s="4">
        <v>18000</v>
      </c>
      <c r="K42" s="1">
        <f t="shared" si="4"/>
        <v>806.41666666666663</v>
      </c>
      <c r="L42" s="1">
        <f t="shared" si="4"/>
        <v>1100</v>
      </c>
      <c r="M42" s="1">
        <f t="shared" si="4"/>
        <v>1500</v>
      </c>
      <c r="N42" t="str">
        <f t="shared" si="1"/>
        <v>AUVERGNE-RHÔNE-ALPES|69 - Rhône|CA de l'Ouest Rhodanien</v>
      </c>
      <c r="O42" t="str">
        <f t="shared" si="2"/>
        <v>Province</v>
      </c>
    </row>
    <row r="43" spans="1:15" x14ac:dyDescent="0.25">
      <c r="A43" t="s">
        <v>15</v>
      </c>
      <c r="B43" t="str">
        <f t="shared" si="3"/>
        <v>Rhône</v>
      </c>
      <c r="C43" t="s">
        <v>109</v>
      </c>
      <c r="D43" t="s">
        <v>80</v>
      </c>
      <c r="E43">
        <v>200077014</v>
      </c>
      <c r="F43">
        <v>2024</v>
      </c>
      <c r="G43" t="s">
        <v>21</v>
      </c>
      <c r="H43" s="1">
        <v>10411</v>
      </c>
      <c r="I43" s="4">
        <v>14088</v>
      </c>
      <c r="J43" s="4">
        <v>19054</v>
      </c>
      <c r="K43" s="1">
        <f t="shared" si="4"/>
        <v>867.58333333333337</v>
      </c>
      <c r="L43" s="1">
        <f t="shared" si="4"/>
        <v>1174</v>
      </c>
      <c r="M43" s="1">
        <f t="shared" si="4"/>
        <v>1587.8333333333333</v>
      </c>
      <c r="N43" t="str">
        <f t="shared" si="1"/>
        <v>AUVERGNE-RHÔNE-ALPES|69 - Rhône|CA Vienne Condrieu</v>
      </c>
      <c r="O43" t="str">
        <f t="shared" si="2"/>
        <v>Province</v>
      </c>
    </row>
    <row r="44" spans="1:15" x14ac:dyDescent="0.25">
      <c r="A44" t="s">
        <v>15</v>
      </c>
      <c r="B44" t="str">
        <f t="shared" si="3"/>
        <v>Rhône</v>
      </c>
      <c r="C44" t="s">
        <v>109</v>
      </c>
      <c r="D44" t="s">
        <v>28</v>
      </c>
      <c r="E44">
        <v>200040590</v>
      </c>
      <c r="F44">
        <v>2024</v>
      </c>
      <c r="G44" t="s">
        <v>21</v>
      </c>
      <c r="H44" s="1">
        <v>10200</v>
      </c>
      <c r="I44" s="4">
        <v>14344</v>
      </c>
      <c r="J44" s="4">
        <v>18784</v>
      </c>
      <c r="K44" s="1">
        <f t="shared" si="4"/>
        <v>850</v>
      </c>
      <c r="L44" s="1">
        <f t="shared" si="4"/>
        <v>1195.3333333333333</v>
      </c>
      <c r="M44" s="1">
        <f t="shared" si="4"/>
        <v>1565.3333333333333</v>
      </c>
      <c r="N44" t="str">
        <f t="shared" si="1"/>
        <v>AUVERGNE-RHÔNE-ALPES|69 - Rhône|CA Villefranche Beaujolais Saône</v>
      </c>
      <c r="O44" t="str">
        <f t="shared" si="2"/>
        <v>Province</v>
      </c>
    </row>
    <row r="45" spans="1:15" x14ac:dyDescent="0.25">
      <c r="A45" t="s">
        <v>15</v>
      </c>
      <c r="B45" t="str">
        <f t="shared" si="3"/>
        <v>Rhône</v>
      </c>
      <c r="C45" t="s">
        <v>109</v>
      </c>
      <c r="D45" t="s">
        <v>112</v>
      </c>
      <c r="E45">
        <v>246900757</v>
      </c>
      <c r="F45">
        <v>2024</v>
      </c>
      <c r="G45" t="s">
        <v>21</v>
      </c>
      <c r="H45" s="1">
        <v>12000</v>
      </c>
      <c r="I45" s="4">
        <v>16667</v>
      </c>
      <c r="J45" s="4">
        <v>21040</v>
      </c>
      <c r="K45" s="1">
        <f t="shared" si="4"/>
        <v>1000</v>
      </c>
      <c r="L45" s="1">
        <f t="shared" si="4"/>
        <v>1388.9166666666667</v>
      </c>
      <c r="M45" s="1">
        <f t="shared" si="4"/>
        <v>1753.3333333333333</v>
      </c>
      <c r="N45" t="str">
        <f t="shared" si="1"/>
        <v>AUVERGNE-RHÔNE-ALPES|69 - Rhône|CC de la Vallée du Garon (CCVG)</v>
      </c>
      <c r="O45" t="str">
        <f t="shared" si="2"/>
        <v>Province</v>
      </c>
    </row>
    <row r="46" spans="1:15" x14ac:dyDescent="0.25">
      <c r="A46" t="s">
        <v>15</v>
      </c>
      <c r="B46" t="str">
        <f t="shared" si="3"/>
        <v>Rhône</v>
      </c>
      <c r="C46" t="s">
        <v>109</v>
      </c>
      <c r="D46" t="s">
        <v>114</v>
      </c>
      <c r="E46">
        <v>246900575</v>
      </c>
      <c r="F46">
        <v>2024</v>
      </c>
      <c r="G46" t="s">
        <v>21</v>
      </c>
      <c r="H46" s="1">
        <v>12650</v>
      </c>
      <c r="I46" s="4">
        <v>17040</v>
      </c>
      <c r="J46" s="4">
        <v>21600</v>
      </c>
      <c r="K46" s="1">
        <f t="shared" si="4"/>
        <v>1054.1666666666667</v>
      </c>
      <c r="L46" s="1">
        <f t="shared" si="4"/>
        <v>1420</v>
      </c>
      <c r="M46" s="1">
        <f t="shared" si="4"/>
        <v>1800</v>
      </c>
      <c r="N46" t="str">
        <f t="shared" si="1"/>
        <v>AUVERGNE-RHÔNE-ALPES|69 - Rhône|CC de l'Est Lyonnais (CCEL)</v>
      </c>
      <c r="O46" t="str">
        <f t="shared" si="2"/>
        <v>Province</v>
      </c>
    </row>
    <row r="47" spans="1:15" x14ac:dyDescent="0.25">
      <c r="A47" t="s">
        <v>15</v>
      </c>
      <c r="B47" t="str">
        <f t="shared" si="3"/>
        <v>Rhône</v>
      </c>
      <c r="C47" t="s">
        <v>109</v>
      </c>
      <c r="D47" t="s">
        <v>116</v>
      </c>
      <c r="E47">
        <v>200067817</v>
      </c>
      <c r="F47">
        <v>2024</v>
      </c>
      <c r="G47" t="s">
        <v>21</v>
      </c>
      <c r="H47" s="1">
        <v>10922</v>
      </c>
      <c r="I47" s="4">
        <v>14765</v>
      </c>
      <c r="J47" s="4">
        <v>19269</v>
      </c>
      <c r="K47" s="1">
        <f t="shared" si="4"/>
        <v>910.16666666666663</v>
      </c>
      <c r="L47" s="1">
        <f t="shared" si="4"/>
        <v>1230.4166666666667</v>
      </c>
      <c r="M47" s="1">
        <f t="shared" si="4"/>
        <v>1605.75</v>
      </c>
      <c r="N47" t="str">
        <f t="shared" si="1"/>
        <v>AUVERGNE-RHÔNE-ALPES|69 - Rhône|CC Saône-Beaujolais</v>
      </c>
      <c r="O47" t="str">
        <f t="shared" si="2"/>
        <v>Province</v>
      </c>
    </row>
    <row r="48" spans="1:15" x14ac:dyDescent="0.25">
      <c r="A48" t="s">
        <v>15</v>
      </c>
      <c r="B48" t="str">
        <f t="shared" si="3"/>
        <v>Rhône</v>
      </c>
      <c r="C48" t="s">
        <v>109</v>
      </c>
      <c r="D48" t="s">
        <v>118</v>
      </c>
      <c r="E48">
        <v>200046977</v>
      </c>
      <c r="F48">
        <v>2024</v>
      </c>
      <c r="G48" t="s">
        <v>21</v>
      </c>
      <c r="H48" s="1">
        <v>10480</v>
      </c>
      <c r="I48" s="4">
        <v>14987</v>
      </c>
      <c r="J48" s="4">
        <v>20172</v>
      </c>
      <c r="K48" s="1">
        <f t="shared" si="4"/>
        <v>873.33333333333337</v>
      </c>
      <c r="L48" s="1">
        <f t="shared" si="4"/>
        <v>1248.9166666666667</v>
      </c>
      <c r="M48" s="1">
        <f t="shared" si="4"/>
        <v>1681</v>
      </c>
      <c r="N48" t="str">
        <f t="shared" si="1"/>
        <v>AUVERGNE-RHÔNE-ALPES|69 - Rhône|Métropole de Lyon</v>
      </c>
      <c r="O48" t="str">
        <f t="shared" si="2"/>
        <v>Province</v>
      </c>
    </row>
    <row r="49" spans="1:15" x14ac:dyDescent="0.25">
      <c r="A49" t="s">
        <v>15</v>
      </c>
      <c r="B49" t="str">
        <f t="shared" si="3"/>
        <v>Savoie</v>
      </c>
      <c r="C49" t="s">
        <v>121</v>
      </c>
      <c r="D49" t="s">
        <v>122</v>
      </c>
      <c r="E49">
        <v>200068997</v>
      </c>
      <c r="F49">
        <v>2024</v>
      </c>
      <c r="G49" t="s">
        <v>21</v>
      </c>
      <c r="H49" s="1">
        <v>11285</v>
      </c>
      <c r="I49" s="4">
        <v>15240</v>
      </c>
      <c r="J49" s="4">
        <v>19810</v>
      </c>
      <c r="K49" s="1">
        <f t="shared" si="4"/>
        <v>940.41666666666663</v>
      </c>
      <c r="L49" s="1">
        <f t="shared" si="4"/>
        <v>1270</v>
      </c>
      <c r="M49" s="1">
        <f t="shared" si="4"/>
        <v>1650.8333333333333</v>
      </c>
      <c r="N49" t="str">
        <f t="shared" si="1"/>
        <v>AUVERGNE-RHÔNE-ALPES|73 - Savoie|CA Arlysère</v>
      </c>
      <c r="O49" t="str">
        <f t="shared" si="2"/>
        <v>Province</v>
      </c>
    </row>
    <row r="50" spans="1:15" x14ac:dyDescent="0.25">
      <c r="A50" t="s">
        <v>15</v>
      </c>
      <c r="B50" t="str">
        <f t="shared" si="3"/>
        <v>Savoie</v>
      </c>
      <c r="C50" t="s">
        <v>121</v>
      </c>
      <c r="D50" t="s">
        <v>124</v>
      </c>
      <c r="E50">
        <v>200069110</v>
      </c>
      <c r="F50">
        <v>2024</v>
      </c>
      <c r="G50" t="s">
        <v>21</v>
      </c>
      <c r="H50" s="1">
        <v>10888</v>
      </c>
      <c r="I50" s="4">
        <v>15216</v>
      </c>
      <c r="J50" s="4">
        <v>20060</v>
      </c>
      <c r="K50" s="1">
        <f t="shared" si="4"/>
        <v>907.33333333333337</v>
      </c>
      <c r="L50" s="1">
        <f t="shared" si="4"/>
        <v>1268</v>
      </c>
      <c r="M50" s="1">
        <f t="shared" si="4"/>
        <v>1671.6666666666667</v>
      </c>
      <c r="N50" t="str">
        <f t="shared" si="1"/>
        <v>AUVERGNE-RHÔNE-ALPES|73 - Savoie|CA du Grand Chambéry</v>
      </c>
      <c r="O50" t="str">
        <f t="shared" si="2"/>
        <v>Province</v>
      </c>
    </row>
    <row r="51" spans="1:15" x14ac:dyDescent="0.25">
      <c r="A51" t="s">
        <v>15</v>
      </c>
      <c r="B51" t="str">
        <f t="shared" si="3"/>
        <v>Savoie</v>
      </c>
      <c r="C51" t="s">
        <v>121</v>
      </c>
      <c r="D51" t="s">
        <v>126</v>
      </c>
      <c r="E51">
        <v>200068674</v>
      </c>
      <c r="F51">
        <v>2024</v>
      </c>
      <c r="G51" t="s">
        <v>21</v>
      </c>
      <c r="H51" s="1">
        <v>11472</v>
      </c>
      <c r="I51" s="4">
        <v>15840</v>
      </c>
      <c r="J51" s="4">
        <v>20328</v>
      </c>
      <c r="K51" s="1">
        <f t="shared" si="4"/>
        <v>956</v>
      </c>
      <c r="L51" s="1">
        <f t="shared" si="4"/>
        <v>1320</v>
      </c>
      <c r="M51" s="1">
        <f t="shared" si="4"/>
        <v>1694</v>
      </c>
      <c r="N51" t="str">
        <f t="shared" si="1"/>
        <v>AUVERGNE-RHÔNE-ALPES|73 - Savoie|CA Grand Lac</v>
      </c>
      <c r="O51" t="str">
        <f t="shared" si="2"/>
        <v>Province</v>
      </c>
    </row>
    <row r="52" spans="1:15" x14ac:dyDescent="0.25">
      <c r="A52" t="s">
        <v>15</v>
      </c>
      <c r="B52" t="str">
        <f t="shared" si="3"/>
        <v>Haute-Savoie</v>
      </c>
      <c r="C52" t="s">
        <v>129</v>
      </c>
      <c r="D52" t="s">
        <v>130</v>
      </c>
      <c r="E52">
        <v>200011773</v>
      </c>
      <c r="F52">
        <v>2024</v>
      </c>
      <c r="G52" t="s">
        <v>21</v>
      </c>
      <c r="H52" s="1">
        <v>10469</v>
      </c>
      <c r="I52" s="4">
        <v>15226</v>
      </c>
      <c r="J52" s="4">
        <v>20800</v>
      </c>
      <c r="K52" s="1">
        <f t="shared" si="4"/>
        <v>872.41666666666663</v>
      </c>
      <c r="L52" s="1">
        <f t="shared" si="4"/>
        <v>1268.8333333333333</v>
      </c>
      <c r="M52" s="1">
        <f t="shared" si="4"/>
        <v>1733.3333333333333</v>
      </c>
      <c r="N52" t="str">
        <f t="shared" si="1"/>
        <v>AUVERGNE-RHÔNE-ALPES|74 - Haute-Savoie|CA Annemasse-Les Voirons-Agglomération</v>
      </c>
      <c r="O52" t="str">
        <f t="shared" si="2"/>
        <v>Province</v>
      </c>
    </row>
    <row r="53" spans="1:15" x14ac:dyDescent="0.25">
      <c r="A53" t="s">
        <v>15</v>
      </c>
      <c r="B53" t="str">
        <f t="shared" si="3"/>
        <v>Haute-Savoie</v>
      </c>
      <c r="C53" t="s">
        <v>129</v>
      </c>
      <c r="D53" t="s">
        <v>132</v>
      </c>
      <c r="E53">
        <v>200066793</v>
      </c>
      <c r="F53">
        <v>2024</v>
      </c>
      <c r="G53" t="s">
        <v>21</v>
      </c>
      <c r="H53" s="1">
        <v>12000</v>
      </c>
      <c r="I53" s="4">
        <v>16911</v>
      </c>
      <c r="J53" s="4">
        <v>21600</v>
      </c>
      <c r="K53" s="1">
        <f t="shared" si="4"/>
        <v>1000</v>
      </c>
      <c r="L53" s="1">
        <f t="shared" si="4"/>
        <v>1409.25</v>
      </c>
      <c r="M53" s="1">
        <f t="shared" si="4"/>
        <v>1800</v>
      </c>
      <c r="N53" t="str">
        <f t="shared" si="1"/>
        <v>AUVERGNE-RHÔNE-ALPES|74 - Haute-Savoie|CA du Grand Annecy</v>
      </c>
      <c r="O53" t="str">
        <f t="shared" si="2"/>
        <v>Province</v>
      </c>
    </row>
    <row r="54" spans="1:15" x14ac:dyDescent="0.25">
      <c r="A54" t="s">
        <v>15</v>
      </c>
      <c r="B54" t="str">
        <f t="shared" si="3"/>
        <v>Haute-Savoie</v>
      </c>
      <c r="C54" t="s">
        <v>129</v>
      </c>
      <c r="D54" t="s">
        <v>134</v>
      </c>
      <c r="E54">
        <v>200067551</v>
      </c>
      <c r="F54">
        <v>2024</v>
      </c>
      <c r="G54" t="s">
        <v>21</v>
      </c>
      <c r="H54" s="1">
        <v>11490</v>
      </c>
      <c r="I54" s="4">
        <v>16200</v>
      </c>
      <c r="J54" s="4">
        <v>21116</v>
      </c>
      <c r="K54" s="1">
        <f t="shared" si="4"/>
        <v>957.5</v>
      </c>
      <c r="L54" s="1">
        <f t="shared" si="4"/>
        <v>1350</v>
      </c>
      <c r="M54" s="1">
        <f t="shared" si="4"/>
        <v>1759.6666666666667</v>
      </c>
      <c r="N54" t="str">
        <f t="shared" si="1"/>
        <v>AUVERGNE-RHÔNE-ALPES|74 - Haute-Savoie|CA Thonon Agglomération</v>
      </c>
      <c r="O54" t="str">
        <f t="shared" si="2"/>
        <v>Province</v>
      </c>
    </row>
    <row r="55" spans="1:15" x14ac:dyDescent="0.25">
      <c r="A55" t="s">
        <v>15</v>
      </c>
      <c r="B55" t="str">
        <f t="shared" si="3"/>
        <v>Haute-Savoie</v>
      </c>
      <c r="C55" t="s">
        <v>129</v>
      </c>
      <c r="D55" t="s">
        <v>136</v>
      </c>
      <c r="E55">
        <v>200033116</v>
      </c>
      <c r="F55">
        <v>2024</v>
      </c>
      <c r="G55" t="s">
        <v>21</v>
      </c>
      <c r="H55" s="1">
        <v>11448</v>
      </c>
      <c r="I55" s="4">
        <v>16008</v>
      </c>
      <c r="J55" s="4">
        <v>20454</v>
      </c>
      <c r="K55" s="1">
        <f t="shared" si="4"/>
        <v>954</v>
      </c>
      <c r="L55" s="1">
        <f t="shared" si="4"/>
        <v>1334</v>
      </c>
      <c r="M55" s="1">
        <f t="shared" si="4"/>
        <v>1704.5</v>
      </c>
      <c r="N55" t="str">
        <f t="shared" si="1"/>
        <v>AUVERGNE-RHÔNE-ALPES|74 - Haute-Savoie|CC Cluses-Arve et Montagnes</v>
      </c>
      <c r="O55" t="str">
        <f t="shared" si="2"/>
        <v>Province</v>
      </c>
    </row>
    <row r="56" spans="1:15" x14ac:dyDescent="0.25">
      <c r="A56" t="s">
        <v>15</v>
      </c>
      <c r="B56" t="str">
        <f t="shared" si="3"/>
        <v>Haute-Savoie</v>
      </c>
      <c r="C56" t="s">
        <v>129</v>
      </c>
      <c r="D56" t="s">
        <v>138</v>
      </c>
      <c r="E56">
        <v>247400690</v>
      </c>
      <c r="F56">
        <v>2024</v>
      </c>
      <c r="G56" t="s">
        <v>21</v>
      </c>
      <c r="H56" s="1">
        <v>11472</v>
      </c>
      <c r="I56" s="4">
        <v>16764</v>
      </c>
      <c r="J56" s="4">
        <v>22800</v>
      </c>
      <c r="K56" s="1">
        <f t="shared" si="4"/>
        <v>956</v>
      </c>
      <c r="L56" s="1">
        <f t="shared" si="4"/>
        <v>1397</v>
      </c>
      <c r="M56" s="1">
        <f t="shared" si="4"/>
        <v>1900</v>
      </c>
      <c r="N56" t="str">
        <f t="shared" si="1"/>
        <v>AUVERGNE-RHÔNE-ALPES|74 - Haute-Savoie|CC du Genevois</v>
      </c>
      <c r="O56" t="str">
        <f t="shared" si="2"/>
        <v>Province</v>
      </c>
    </row>
    <row r="57" spans="1:15" x14ac:dyDescent="0.25">
      <c r="A57" t="s">
        <v>15</v>
      </c>
      <c r="B57" t="str">
        <f t="shared" si="3"/>
        <v>Haute-Savoie</v>
      </c>
      <c r="C57" t="s">
        <v>129</v>
      </c>
      <c r="D57" t="s">
        <v>140</v>
      </c>
      <c r="E57">
        <v>200000172</v>
      </c>
      <c r="F57">
        <v>2024</v>
      </c>
      <c r="G57" t="s">
        <v>21</v>
      </c>
      <c r="H57" s="1">
        <v>11823</v>
      </c>
      <c r="I57" s="4">
        <v>16818</v>
      </c>
      <c r="J57" s="4">
        <v>21600</v>
      </c>
      <c r="K57" s="1">
        <f t="shared" si="4"/>
        <v>985.25</v>
      </c>
      <c r="L57" s="1">
        <f t="shared" si="4"/>
        <v>1401.5</v>
      </c>
      <c r="M57" s="1">
        <f t="shared" si="4"/>
        <v>1800</v>
      </c>
      <c r="N57" t="str">
        <f t="shared" si="1"/>
        <v>AUVERGNE-RHÔNE-ALPES|74 - Haute-Savoie|CC Faucigny - Glières</v>
      </c>
      <c r="O57" t="str">
        <f t="shared" si="2"/>
        <v>Province</v>
      </c>
    </row>
    <row r="58" spans="1:15" x14ac:dyDescent="0.25">
      <c r="A58" t="s">
        <v>15</v>
      </c>
      <c r="B58" t="str">
        <f t="shared" si="3"/>
        <v>Haute-Savoie</v>
      </c>
      <c r="C58" t="s">
        <v>129</v>
      </c>
      <c r="D58" t="s">
        <v>142</v>
      </c>
      <c r="E58">
        <v>200034882</v>
      </c>
      <c r="F58">
        <v>2024</v>
      </c>
      <c r="G58" t="s">
        <v>21</v>
      </c>
      <c r="H58" s="1">
        <v>12008</v>
      </c>
      <c r="I58" s="4">
        <v>16435</v>
      </c>
      <c r="J58" s="4">
        <v>20804</v>
      </c>
      <c r="K58" s="1">
        <f t="shared" si="4"/>
        <v>1000.6666666666666</v>
      </c>
      <c r="L58" s="1">
        <f t="shared" si="4"/>
        <v>1369.5833333333333</v>
      </c>
      <c r="M58" s="1">
        <f t="shared" si="4"/>
        <v>1733.6666666666667</v>
      </c>
      <c r="N58" t="str">
        <f t="shared" si="1"/>
        <v>AUVERGNE-RHÔNE-ALPES|74 - Haute-Savoie|CC Pays du Mont-Blanc</v>
      </c>
      <c r="O58" t="str">
        <f t="shared" si="2"/>
        <v>Province</v>
      </c>
    </row>
    <row r="59" spans="1:15" x14ac:dyDescent="0.25">
      <c r="A59" t="s">
        <v>15</v>
      </c>
      <c r="B59" t="str">
        <f t="shared" si="3"/>
        <v>Haute-Savoie</v>
      </c>
      <c r="C59" t="s">
        <v>129</v>
      </c>
      <c r="D59" t="s">
        <v>144</v>
      </c>
      <c r="E59">
        <v>247400740</v>
      </c>
      <c r="F59">
        <v>2024</v>
      </c>
      <c r="G59" t="s">
        <v>21</v>
      </c>
      <c r="H59" s="1">
        <v>11652</v>
      </c>
      <c r="I59" s="4">
        <v>16306</v>
      </c>
      <c r="J59" s="4">
        <v>20522</v>
      </c>
      <c r="K59" s="1">
        <f t="shared" si="4"/>
        <v>971</v>
      </c>
      <c r="L59" s="1">
        <f t="shared" si="4"/>
        <v>1358.8333333333333</v>
      </c>
      <c r="M59" s="1">
        <f t="shared" si="4"/>
        <v>1710.1666666666667</v>
      </c>
      <c r="N59" t="str">
        <f t="shared" si="1"/>
        <v>AUVERGNE-RHÔNE-ALPES|74 - Haute-Savoie|CC Rumilly Terre de Savoie</v>
      </c>
      <c r="O59" t="str">
        <f t="shared" si="2"/>
        <v>Province</v>
      </c>
    </row>
    <row r="60" spans="1:15" x14ac:dyDescent="0.25">
      <c r="A60" t="s">
        <v>146</v>
      </c>
      <c r="B60" t="str">
        <f t="shared" si="3"/>
        <v>Côte-d'Or</v>
      </c>
      <c r="C60" t="s">
        <v>148</v>
      </c>
      <c r="D60" t="s">
        <v>149</v>
      </c>
      <c r="E60">
        <v>200006682</v>
      </c>
      <c r="F60">
        <v>2024</v>
      </c>
      <c r="G60" t="s">
        <v>21</v>
      </c>
      <c r="H60" s="1">
        <v>10488</v>
      </c>
      <c r="I60" s="4">
        <v>14544</v>
      </c>
      <c r="J60" s="4">
        <v>18530</v>
      </c>
      <c r="K60" s="1">
        <f t="shared" si="4"/>
        <v>874</v>
      </c>
      <c r="L60" s="1">
        <f t="shared" si="4"/>
        <v>1212</v>
      </c>
      <c r="M60" s="1">
        <f t="shared" si="4"/>
        <v>1544.1666666666667</v>
      </c>
      <c r="N60" t="str">
        <f t="shared" si="1"/>
        <v>BOURGOGNE-FRANCHE-COMTÉ|21 - Côte-d'Or|CA Beaune, Côte et Sud - Communauté Beaune-Chagny-Nolay</v>
      </c>
      <c r="O60" t="str">
        <f t="shared" si="2"/>
        <v>Province</v>
      </c>
    </row>
    <row r="61" spans="1:15" x14ac:dyDescent="0.25">
      <c r="A61" t="s">
        <v>146</v>
      </c>
      <c r="B61" t="str">
        <f t="shared" si="3"/>
        <v>Côte-d'Or</v>
      </c>
      <c r="C61" t="s">
        <v>148</v>
      </c>
      <c r="D61" t="s">
        <v>151</v>
      </c>
      <c r="E61">
        <v>242100410</v>
      </c>
      <c r="F61">
        <v>2024</v>
      </c>
      <c r="G61" t="s">
        <v>21</v>
      </c>
      <c r="H61" s="1">
        <v>9864</v>
      </c>
      <c r="I61" s="4">
        <v>13933</v>
      </c>
      <c r="J61" s="4">
        <v>18857</v>
      </c>
      <c r="K61" s="1">
        <f t="shared" si="4"/>
        <v>822</v>
      </c>
      <c r="L61" s="1">
        <f t="shared" si="4"/>
        <v>1161.0833333333333</v>
      </c>
      <c r="M61" s="1">
        <f t="shared" si="4"/>
        <v>1571.4166666666667</v>
      </c>
      <c r="N61" t="str">
        <f t="shared" si="1"/>
        <v>BOURGOGNE-FRANCHE-COMTÉ|21 - Côte-d'Or|Dijon Métropole</v>
      </c>
      <c r="O61" t="str">
        <f t="shared" si="2"/>
        <v>Province</v>
      </c>
    </row>
    <row r="62" spans="1:15" x14ac:dyDescent="0.25">
      <c r="A62" t="s">
        <v>146</v>
      </c>
      <c r="B62" t="str">
        <f t="shared" si="3"/>
        <v>Doubs</v>
      </c>
      <c r="C62" t="s">
        <v>154</v>
      </c>
      <c r="D62" t="s">
        <v>155</v>
      </c>
      <c r="E62">
        <v>200065647</v>
      </c>
      <c r="F62">
        <v>2024</v>
      </c>
      <c r="G62" t="s">
        <v>21</v>
      </c>
      <c r="H62" s="1">
        <v>8580</v>
      </c>
      <c r="I62" s="4">
        <v>12454</v>
      </c>
      <c r="J62" s="4">
        <v>17539</v>
      </c>
      <c r="K62" s="1">
        <f t="shared" si="4"/>
        <v>715</v>
      </c>
      <c r="L62" s="1">
        <f t="shared" si="4"/>
        <v>1037.8333333333333</v>
      </c>
      <c r="M62" s="1">
        <f t="shared" si="4"/>
        <v>1461.5833333333333</v>
      </c>
      <c r="N62" t="str">
        <f t="shared" si="1"/>
        <v>BOURGOGNE-FRANCHE-COMTÉ|25 - Doubs|CA Pays de Montbéliard Agglomération</v>
      </c>
      <c r="O62" t="str">
        <f t="shared" si="2"/>
        <v>Province</v>
      </c>
    </row>
    <row r="63" spans="1:15" x14ac:dyDescent="0.25">
      <c r="A63" t="s">
        <v>146</v>
      </c>
      <c r="B63" t="str">
        <f t="shared" si="3"/>
        <v>Doubs</v>
      </c>
      <c r="C63" t="s">
        <v>154</v>
      </c>
      <c r="D63" t="s">
        <v>157</v>
      </c>
      <c r="E63">
        <v>242500338</v>
      </c>
      <c r="F63">
        <v>2024</v>
      </c>
      <c r="G63" t="s">
        <v>21</v>
      </c>
      <c r="H63" s="1">
        <v>10351</v>
      </c>
      <c r="I63" s="4">
        <v>14029</v>
      </c>
      <c r="J63" s="4">
        <v>19302</v>
      </c>
      <c r="K63" s="1">
        <f t="shared" si="4"/>
        <v>862.58333333333337</v>
      </c>
      <c r="L63" s="1">
        <f t="shared" si="4"/>
        <v>1169.0833333333333</v>
      </c>
      <c r="M63" s="1">
        <f t="shared" si="4"/>
        <v>1608.5</v>
      </c>
      <c r="N63" t="str">
        <f t="shared" si="1"/>
        <v>BOURGOGNE-FRANCHE-COMTÉ|25 - Doubs|CC du Grand Pontarlier</v>
      </c>
      <c r="O63" t="str">
        <f t="shared" si="2"/>
        <v>Province</v>
      </c>
    </row>
    <row r="64" spans="1:15" x14ac:dyDescent="0.25">
      <c r="A64" t="s">
        <v>146</v>
      </c>
      <c r="B64" t="str">
        <f t="shared" si="3"/>
        <v>Doubs</v>
      </c>
      <c r="C64" t="s">
        <v>154</v>
      </c>
      <c r="D64" t="s">
        <v>159</v>
      </c>
      <c r="E64">
        <v>247000722</v>
      </c>
      <c r="F64">
        <v>2024</v>
      </c>
      <c r="G64" t="s">
        <v>21</v>
      </c>
      <c r="H64" s="1">
        <v>10263</v>
      </c>
      <c r="I64" s="4">
        <v>14958</v>
      </c>
      <c r="J64" s="4">
        <v>19749</v>
      </c>
      <c r="K64" s="1">
        <f t="shared" si="4"/>
        <v>855.25</v>
      </c>
      <c r="L64" s="1">
        <f t="shared" si="4"/>
        <v>1246.5</v>
      </c>
      <c r="M64" s="1">
        <f t="shared" si="4"/>
        <v>1645.75</v>
      </c>
      <c r="N64" t="str">
        <f t="shared" si="1"/>
        <v>BOURGOGNE-FRANCHE-COMTÉ|25 - Doubs|CC du Pays d'Héricourt</v>
      </c>
      <c r="O64" t="str">
        <f t="shared" si="2"/>
        <v>Province</v>
      </c>
    </row>
    <row r="65" spans="1:15" x14ac:dyDescent="0.25">
      <c r="A65" t="s">
        <v>146</v>
      </c>
      <c r="B65" t="str">
        <f t="shared" si="3"/>
        <v>Doubs</v>
      </c>
      <c r="C65" t="s">
        <v>154</v>
      </c>
      <c r="D65" t="s">
        <v>161</v>
      </c>
      <c r="E65">
        <v>242500361</v>
      </c>
      <c r="F65">
        <v>2024</v>
      </c>
      <c r="G65" t="s">
        <v>21</v>
      </c>
      <c r="H65" s="1">
        <v>9422</v>
      </c>
      <c r="I65" s="4">
        <v>12960</v>
      </c>
      <c r="J65" s="4">
        <v>18000</v>
      </c>
      <c r="K65" s="1">
        <f t="shared" si="4"/>
        <v>785.16666666666663</v>
      </c>
      <c r="L65" s="1">
        <f t="shared" si="4"/>
        <v>1080</v>
      </c>
      <c r="M65" s="1">
        <f t="shared" si="4"/>
        <v>1500</v>
      </c>
      <c r="N65" t="str">
        <f t="shared" si="1"/>
        <v>BOURGOGNE-FRANCHE-COMTÉ|25 - Doubs|CU Grand Besançon Métropole</v>
      </c>
      <c r="O65" t="str">
        <f t="shared" si="2"/>
        <v>Province</v>
      </c>
    </row>
    <row r="66" spans="1:15" x14ac:dyDescent="0.25">
      <c r="A66" t="s">
        <v>146</v>
      </c>
      <c r="B66" t="str">
        <f t="shared" si="3"/>
        <v>Jura</v>
      </c>
      <c r="C66" t="s">
        <v>164</v>
      </c>
      <c r="D66" t="s">
        <v>165</v>
      </c>
      <c r="E66">
        <v>200010650</v>
      </c>
      <c r="F66">
        <v>2024</v>
      </c>
      <c r="G66" t="s">
        <v>21</v>
      </c>
      <c r="H66" s="1">
        <v>10300</v>
      </c>
      <c r="I66" s="4">
        <v>13614</v>
      </c>
      <c r="J66" s="4">
        <v>18058</v>
      </c>
      <c r="K66" s="1">
        <f t="shared" si="4"/>
        <v>858.33333333333337</v>
      </c>
      <c r="L66" s="1">
        <f t="shared" si="4"/>
        <v>1134.5</v>
      </c>
      <c r="M66" s="1">
        <f t="shared" si="4"/>
        <v>1504.8333333333333</v>
      </c>
      <c r="N66" t="str">
        <f t="shared" ref="N66:N129" si="5">SUBSTITUTE(
   UPPER(SUBSTITUTE(TRIM(A66), CHAR(160), " ")) &amp; "|" &amp;
   SUBSTITUTE(TRIM(C66), CHAR(160), " ") &amp; "|" &amp;
   SUBSTITUTE(TRIM(D66), CHAR(160), " "),
   "–", "-"
)</f>
        <v>BOURGOGNE-FRANCHE-COMTÉ|39 - Jura|CA du Grand Dole</v>
      </c>
      <c r="O66" t="str">
        <f t="shared" ref="O66:O129" si="6">IF(A66="Hauts-de-France", "HDF",
IF(A66="Île-de-France", "IDF",
IF(OR(A66="Guadeloupe", A66="Martinique", A66="Guyane", A66="La Réunion", A66="Mayotte"), "OM", "Province")))</f>
        <v>Province</v>
      </c>
    </row>
    <row r="67" spans="1:15" x14ac:dyDescent="0.25">
      <c r="A67" t="s">
        <v>146</v>
      </c>
      <c r="B67" t="str">
        <f t="shared" ref="B67:B130" si="7">MID(C67,6,LEN(C67))</f>
        <v>Jura</v>
      </c>
      <c r="C67" t="s">
        <v>164</v>
      </c>
      <c r="D67" t="s">
        <v>167</v>
      </c>
      <c r="E67">
        <v>200071116</v>
      </c>
      <c r="F67">
        <v>2024</v>
      </c>
      <c r="G67" t="s">
        <v>21</v>
      </c>
      <c r="H67" s="1">
        <v>9642</v>
      </c>
      <c r="I67" s="4">
        <v>13333</v>
      </c>
      <c r="J67" s="4">
        <v>18231</v>
      </c>
      <c r="K67" s="1">
        <f t="shared" ref="K67:M130" si="8">H67/12</f>
        <v>803.5</v>
      </c>
      <c r="L67" s="1">
        <f t="shared" si="8"/>
        <v>1111.0833333333333</v>
      </c>
      <c r="M67" s="1">
        <f t="shared" si="8"/>
        <v>1519.25</v>
      </c>
      <c r="N67" t="str">
        <f t="shared" si="5"/>
        <v>BOURGOGNE-FRANCHE-COMTÉ|39 - Jura|CA ECLA (Espace Communautaire Lons Agglomération)</v>
      </c>
      <c r="O67" t="str">
        <f t="shared" si="6"/>
        <v>Province</v>
      </c>
    </row>
    <row r="68" spans="1:15" x14ac:dyDescent="0.25">
      <c r="A68" t="s">
        <v>146</v>
      </c>
      <c r="B68" t="str">
        <f t="shared" si="7"/>
        <v>Jura</v>
      </c>
      <c r="C68" t="s">
        <v>164</v>
      </c>
      <c r="D68" t="s">
        <v>169</v>
      </c>
      <c r="E68">
        <v>200026573</v>
      </c>
      <c r="F68">
        <v>2024</v>
      </c>
      <c r="G68" t="s">
        <v>21</v>
      </c>
      <c r="H68" s="1">
        <v>10390</v>
      </c>
      <c r="I68" s="4">
        <v>13536</v>
      </c>
      <c r="J68" s="4">
        <v>18228</v>
      </c>
      <c r="K68" s="1">
        <f t="shared" si="8"/>
        <v>865.83333333333337</v>
      </c>
      <c r="L68" s="1">
        <f t="shared" si="8"/>
        <v>1128</v>
      </c>
      <c r="M68" s="1">
        <f t="shared" si="8"/>
        <v>1519</v>
      </c>
      <c r="N68" t="str">
        <f t="shared" si="5"/>
        <v>BOURGOGNE-FRANCHE-COMTÉ|39 - Jura|CC Haut-Jura Saint-Claude</v>
      </c>
      <c r="O68" t="str">
        <f t="shared" si="6"/>
        <v>Province</v>
      </c>
    </row>
    <row r="69" spans="1:15" x14ac:dyDescent="0.25">
      <c r="A69" t="s">
        <v>146</v>
      </c>
      <c r="B69" t="str">
        <f t="shared" si="7"/>
        <v>Nièvre</v>
      </c>
      <c r="C69" t="s">
        <v>172</v>
      </c>
      <c r="D69" t="s">
        <v>173</v>
      </c>
      <c r="E69">
        <v>245804406</v>
      </c>
      <c r="F69">
        <v>2024</v>
      </c>
      <c r="G69" t="s">
        <v>21</v>
      </c>
      <c r="H69" s="1">
        <v>8963</v>
      </c>
      <c r="I69" s="4">
        <v>12492</v>
      </c>
      <c r="J69" s="4">
        <v>17934</v>
      </c>
      <c r="K69" s="1">
        <f t="shared" si="8"/>
        <v>746.91666666666663</v>
      </c>
      <c r="L69" s="1">
        <f t="shared" si="8"/>
        <v>1041</v>
      </c>
      <c r="M69" s="1">
        <f t="shared" si="8"/>
        <v>1494.5</v>
      </c>
      <c r="N69" t="str">
        <f t="shared" si="5"/>
        <v>BOURGOGNE-FRANCHE-COMTÉ|58 - Nièvre|CA de Nevers</v>
      </c>
      <c r="O69" t="str">
        <f t="shared" si="6"/>
        <v>Province</v>
      </c>
    </row>
    <row r="70" spans="1:15" x14ac:dyDescent="0.25">
      <c r="A70" t="s">
        <v>146</v>
      </c>
      <c r="B70" t="str">
        <f t="shared" si="7"/>
        <v>Nièvre</v>
      </c>
      <c r="C70" t="s">
        <v>172</v>
      </c>
      <c r="D70" t="s">
        <v>40</v>
      </c>
      <c r="E70">
        <v>200071140</v>
      </c>
      <c r="F70">
        <v>2024</v>
      </c>
      <c r="G70" t="s">
        <v>21</v>
      </c>
      <c r="H70" s="1">
        <v>8722</v>
      </c>
      <c r="I70" s="4">
        <v>12426</v>
      </c>
      <c r="J70" s="4">
        <v>17916</v>
      </c>
      <c r="K70" s="1">
        <f t="shared" si="8"/>
        <v>726.83333333333337</v>
      </c>
      <c r="L70" s="1">
        <f t="shared" si="8"/>
        <v>1035.5</v>
      </c>
      <c r="M70" s="1">
        <f t="shared" si="8"/>
        <v>1493</v>
      </c>
      <c r="N70" t="str">
        <f t="shared" si="5"/>
        <v>BOURGOGNE-FRANCHE-COMTÉ|58 - Nièvre|CA Moulins Communauté</v>
      </c>
      <c r="O70" t="str">
        <f t="shared" si="6"/>
        <v>Province</v>
      </c>
    </row>
    <row r="71" spans="1:15" x14ac:dyDescent="0.25">
      <c r="A71" t="s">
        <v>146</v>
      </c>
      <c r="B71" t="str">
        <f t="shared" si="7"/>
        <v>Nièvre</v>
      </c>
      <c r="C71" t="s">
        <v>172</v>
      </c>
      <c r="D71" t="s">
        <v>175</v>
      </c>
      <c r="E71">
        <v>200067916</v>
      </c>
      <c r="F71">
        <v>2024</v>
      </c>
      <c r="G71" t="s">
        <v>21</v>
      </c>
      <c r="H71" s="1">
        <v>8354</v>
      </c>
      <c r="I71" s="4">
        <v>12051</v>
      </c>
      <c r="J71" s="4">
        <v>17160</v>
      </c>
      <c r="K71" s="1">
        <f t="shared" si="8"/>
        <v>696.16666666666663</v>
      </c>
      <c r="L71" s="1">
        <f t="shared" si="8"/>
        <v>1004.25</v>
      </c>
      <c r="M71" s="1">
        <f t="shared" si="8"/>
        <v>1430</v>
      </c>
      <c r="N71" t="str">
        <f t="shared" si="5"/>
        <v>BOURGOGNE-FRANCHE-COMTÉ|58 - Nièvre|CC Coeur de Loire</v>
      </c>
      <c r="O71" t="str">
        <f t="shared" si="6"/>
        <v>Province</v>
      </c>
    </row>
    <row r="72" spans="1:15" x14ac:dyDescent="0.25">
      <c r="A72" t="s">
        <v>146</v>
      </c>
      <c r="B72" t="str">
        <f t="shared" si="7"/>
        <v>Haute-Saône</v>
      </c>
      <c r="C72" t="s">
        <v>178</v>
      </c>
      <c r="D72" t="s">
        <v>179</v>
      </c>
      <c r="E72">
        <v>247000011</v>
      </c>
      <c r="F72">
        <v>2024</v>
      </c>
      <c r="G72" t="s">
        <v>21</v>
      </c>
      <c r="H72" s="1">
        <v>9834</v>
      </c>
      <c r="I72" s="4">
        <v>13500</v>
      </c>
      <c r="J72" s="4">
        <v>18495</v>
      </c>
      <c r="K72" s="1">
        <f t="shared" si="8"/>
        <v>819.5</v>
      </c>
      <c r="L72" s="1">
        <f t="shared" si="8"/>
        <v>1125</v>
      </c>
      <c r="M72" s="1">
        <f t="shared" si="8"/>
        <v>1541.25</v>
      </c>
      <c r="N72" t="str">
        <f t="shared" si="5"/>
        <v>BOURGOGNE-FRANCHE-COMTÉ|70 - Haute-Saône|CA de Vesoul</v>
      </c>
      <c r="O72" t="str">
        <f t="shared" si="6"/>
        <v>Province</v>
      </c>
    </row>
    <row r="73" spans="1:15" x14ac:dyDescent="0.25">
      <c r="A73" t="s">
        <v>146</v>
      </c>
      <c r="B73" t="str">
        <f t="shared" si="7"/>
        <v>Haute-Saône</v>
      </c>
      <c r="C73" t="s">
        <v>178</v>
      </c>
      <c r="D73" t="s">
        <v>181</v>
      </c>
      <c r="E73">
        <v>247000664</v>
      </c>
      <c r="F73">
        <v>2024</v>
      </c>
      <c r="G73" t="s">
        <v>21</v>
      </c>
      <c r="H73" s="1">
        <v>8861</v>
      </c>
      <c r="I73" s="4">
        <v>12787</v>
      </c>
      <c r="J73" s="4">
        <v>17178</v>
      </c>
      <c r="K73" s="1">
        <f t="shared" si="8"/>
        <v>738.41666666666663</v>
      </c>
      <c r="L73" s="1">
        <f t="shared" si="8"/>
        <v>1065.5833333333333</v>
      </c>
      <c r="M73" s="1">
        <f t="shared" si="8"/>
        <v>1431.5</v>
      </c>
      <c r="N73" t="str">
        <f t="shared" si="5"/>
        <v>BOURGOGNE-FRANCHE-COMTÉ|70 - Haute-Saône|CC du Pays de Lure</v>
      </c>
      <c r="O73" t="str">
        <f t="shared" si="6"/>
        <v>Province</v>
      </c>
    </row>
    <row r="74" spans="1:15" x14ac:dyDescent="0.25">
      <c r="A74" t="s">
        <v>146</v>
      </c>
      <c r="B74" t="str">
        <f t="shared" si="7"/>
        <v>Haute-Saône</v>
      </c>
      <c r="C74" t="s">
        <v>178</v>
      </c>
      <c r="D74" t="s">
        <v>183</v>
      </c>
      <c r="E74">
        <v>247000755</v>
      </c>
      <c r="F74">
        <v>2024</v>
      </c>
      <c r="G74" t="s">
        <v>21</v>
      </c>
      <c r="H74" s="1">
        <v>9852</v>
      </c>
      <c r="I74" s="4">
        <v>12933</v>
      </c>
      <c r="J74" s="4">
        <v>17148</v>
      </c>
      <c r="K74" s="1">
        <f t="shared" si="8"/>
        <v>821</v>
      </c>
      <c r="L74" s="1">
        <f t="shared" si="8"/>
        <v>1077.75</v>
      </c>
      <c r="M74" s="1">
        <f t="shared" si="8"/>
        <v>1429</v>
      </c>
      <c r="N74" t="str">
        <f t="shared" si="5"/>
        <v>BOURGOGNE-FRANCHE-COMTÉ|70 - Haute-Saône|CC du Pays de Luxeuil</v>
      </c>
      <c r="O74" t="str">
        <f t="shared" si="6"/>
        <v>Province</v>
      </c>
    </row>
    <row r="75" spans="1:15" x14ac:dyDescent="0.25">
      <c r="A75" t="s">
        <v>146</v>
      </c>
      <c r="B75" t="str">
        <f t="shared" si="7"/>
        <v>Haute-Saône</v>
      </c>
      <c r="C75" t="s">
        <v>178</v>
      </c>
      <c r="D75" t="s">
        <v>159</v>
      </c>
      <c r="E75">
        <v>247000722</v>
      </c>
      <c r="F75">
        <v>2024</v>
      </c>
      <c r="G75" t="s">
        <v>21</v>
      </c>
      <c r="H75" s="1">
        <v>10263</v>
      </c>
      <c r="I75" s="4">
        <v>14958</v>
      </c>
      <c r="J75" s="4">
        <v>19749</v>
      </c>
      <c r="K75" s="1">
        <f t="shared" si="8"/>
        <v>855.25</v>
      </c>
      <c r="L75" s="1">
        <f t="shared" si="8"/>
        <v>1246.5</v>
      </c>
      <c r="M75" s="1">
        <f t="shared" si="8"/>
        <v>1645.75</v>
      </c>
      <c r="N75" t="str">
        <f t="shared" si="5"/>
        <v>BOURGOGNE-FRANCHE-COMTÉ|70 - Haute-Saône|CC du Pays d'Héricourt</v>
      </c>
      <c r="O75" t="str">
        <f t="shared" si="6"/>
        <v>Province</v>
      </c>
    </row>
    <row r="76" spans="1:15" x14ac:dyDescent="0.25">
      <c r="A76" t="s">
        <v>146</v>
      </c>
      <c r="B76" t="str">
        <f t="shared" si="7"/>
        <v>Haute-Saône</v>
      </c>
      <c r="C76" t="s">
        <v>178</v>
      </c>
      <c r="D76" t="s">
        <v>185</v>
      </c>
      <c r="E76">
        <v>200036549</v>
      </c>
      <c r="F76">
        <v>2024</v>
      </c>
      <c r="G76" t="s">
        <v>21</v>
      </c>
      <c r="H76" s="1">
        <v>8590</v>
      </c>
      <c r="I76" s="4">
        <v>11778</v>
      </c>
      <c r="J76" s="4">
        <v>16921</v>
      </c>
      <c r="K76" s="1">
        <f t="shared" si="8"/>
        <v>715.83333333333337</v>
      </c>
      <c r="L76" s="1">
        <f t="shared" si="8"/>
        <v>981.5</v>
      </c>
      <c r="M76" s="1">
        <f t="shared" si="8"/>
        <v>1410.0833333333333</v>
      </c>
      <c r="N76" t="str">
        <f t="shared" si="5"/>
        <v>BOURGOGNE-FRANCHE-COMTÉ|70 - Haute-Saône|CC Val de Gray</v>
      </c>
      <c r="O76" t="str">
        <f t="shared" si="6"/>
        <v>Province</v>
      </c>
    </row>
    <row r="77" spans="1:15" x14ac:dyDescent="0.25">
      <c r="A77" t="s">
        <v>146</v>
      </c>
      <c r="B77" t="str">
        <f t="shared" si="7"/>
        <v>Saône-et-Loire</v>
      </c>
      <c r="C77" t="s">
        <v>188</v>
      </c>
      <c r="D77" t="s">
        <v>149</v>
      </c>
      <c r="E77">
        <v>200006682</v>
      </c>
      <c r="F77">
        <v>2024</v>
      </c>
      <c r="G77" t="s">
        <v>21</v>
      </c>
      <c r="H77" s="1">
        <v>10488</v>
      </c>
      <c r="I77" s="4">
        <v>14544</v>
      </c>
      <c r="J77" s="4">
        <v>18530</v>
      </c>
      <c r="K77" s="1">
        <f t="shared" si="8"/>
        <v>874</v>
      </c>
      <c r="L77" s="1">
        <f t="shared" si="8"/>
        <v>1212</v>
      </c>
      <c r="M77" s="1">
        <f t="shared" si="8"/>
        <v>1544.1666666666667</v>
      </c>
      <c r="N77" t="str">
        <f t="shared" si="5"/>
        <v>BOURGOGNE-FRANCHE-COMTÉ|71 - Saône-et-Loire|CA Beaune, Côte et Sud - Communauté Beaune-Chagny-Nolay</v>
      </c>
      <c r="O77" t="str">
        <f t="shared" si="6"/>
        <v>Province</v>
      </c>
    </row>
    <row r="78" spans="1:15" x14ac:dyDescent="0.25">
      <c r="A78" t="s">
        <v>146</v>
      </c>
      <c r="B78" t="str">
        <f t="shared" si="7"/>
        <v>Saône-et-Loire</v>
      </c>
      <c r="C78" t="s">
        <v>188</v>
      </c>
      <c r="D78" t="s">
        <v>189</v>
      </c>
      <c r="E78">
        <v>247100589</v>
      </c>
      <c r="F78">
        <v>2024</v>
      </c>
      <c r="G78" t="s">
        <v>21</v>
      </c>
      <c r="H78" s="1">
        <v>9932</v>
      </c>
      <c r="I78" s="4">
        <v>13800</v>
      </c>
      <c r="J78" s="4">
        <v>18228</v>
      </c>
      <c r="K78" s="1">
        <f t="shared" si="8"/>
        <v>827.66666666666663</v>
      </c>
      <c r="L78" s="1">
        <f t="shared" si="8"/>
        <v>1150</v>
      </c>
      <c r="M78" s="1">
        <f t="shared" si="8"/>
        <v>1519</v>
      </c>
      <c r="N78" t="str">
        <f t="shared" si="5"/>
        <v>BOURGOGNE-FRANCHE-COMTÉ|71 - Saône-et-Loire|CA Le Grand Chalon</v>
      </c>
      <c r="O78" t="str">
        <f t="shared" si="6"/>
        <v>Province</v>
      </c>
    </row>
    <row r="79" spans="1:15" x14ac:dyDescent="0.25">
      <c r="A79" t="s">
        <v>146</v>
      </c>
      <c r="B79" t="str">
        <f t="shared" si="7"/>
        <v>Saône-et-Loire</v>
      </c>
      <c r="C79" t="s">
        <v>188</v>
      </c>
      <c r="D79" t="s">
        <v>26</v>
      </c>
      <c r="E79">
        <v>200070308</v>
      </c>
      <c r="F79">
        <v>2024</v>
      </c>
      <c r="G79" t="s">
        <v>21</v>
      </c>
      <c r="H79" s="1">
        <v>10025</v>
      </c>
      <c r="I79" s="4">
        <v>13874</v>
      </c>
      <c r="J79" s="4">
        <v>18832</v>
      </c>
      <c r="K79" s="1">
        <f t="shared" si="8"/>
        <v>835.41666666666663</v>
      </c>
      <c r="L79" s="1">
        <f t="shared" si="8"/>
        <v>1156.1666666666667</v>
      </c>
      <c r="M79" s="1">
        <f t="shared" si="8"/>
        <v>1569.3333333333333</v>
      </c>
      <c r="N79" t="str">
        <f t="shared" si="5"/>
        <v>BOURGOGNE-FRANCHE-COMTÉ|71 - Saône-et-Loire|CA Mâconnais Beaujolais Agglomération</v>
      </c>
      <c r="O79" t="str">
        <f t="shared" si="6"/>
        <v>Province</v>
      </c>
    </row>
    <row r="80" spans="1:15" x14ac:dyDescent="0.25">
      <c r="A80" t="s">
        <v>146</v>
      </c>
      <c r="B80" t="str">
        <f t="shared" si="7"/>
        <v>Saône-et-Loire</v>
      </c>
      <c r="C80" t="s">
        <v>188</v>
      </c>
      <c r="D80" t="s">
        <v>191</v>
      </c>
      <c r="E80">
        <v>200070530</v>
      </c>
      <c r="F80">
        <v>2024</v>
      </c>
      <c r="G80" t="s">
        <v>21</v>
      </c>
      <c r="H80" s="1">
        <v>9592</v>
      </c>
      <c r="I80" s="4">
        <v>12900</v>
      </c>
      <c r="J80" s="4">
        <v>18355</v>
      </c>
      <c r="K80" s="1">
        <f t="shared" si="8"/>
        <v>799.33333333333337</v>
      </c>
      <c r="L80" s="1">
        <f t="shared" si="8"/>
        <v>1075</v>
      </c>
      <c r="M80" s="1">
        <f t="shared" si="8"/>
        <v>1529.5833333333333</v>
      </c>
      <c r="N80" t="str">
        <f t="shared" si="5"/>
        <v>BOURGOGNE-FRANCHE-COMTÉ|71 - Saône-et-Loire|CC du Grand Autunois Morvan</v>
      </c>
      <c r="O80" t="str">
        <f t="shared" si="6"/>
        <v>Province</v>
      </c>
    </row>
    <row r="81" spans="1:15" x14ac:dyDescent="0.25">
      <c r="A81" t="s">
        <v>146</v>
      </c>
      <c r="B81" t="str">
        <f t="shared" si="7"/>
        <v>Saône-et-Loire</v>
      </c>
      <c r="C81" t="s">
        <v>188</v>
      </c>
      <c r="D81" t="s">
        <v>193</v>
      </c>
      <c r="E81">
        <v>247100290</v>
      </c>
      <c r="F81">
        <v>2024</v>
      </c>
      <c r="G81" t="s">
        <v>21</v>
      </c>
      <c r="H81" s="1">
        <v>9793</v>
      </c>
      <c r="I81" s="4">
        <v>13212</v>
      </c>
      <c r="J81" s="4">
        <v>18348</v>
      </c>
      <c r="K81" s="1">
        <f t="shared" si="8"/>
        <v>816.08333333333337</v>
      </c>
      <c r="L81" s="1">
        <f t="shared" si="8"/>
        <v>1101</v>
      </c>
      <c r="M81" s="1">
        <f t="shared" si="8"/>
        <v>1529</v>
      </c>
      <c r="N81" t="str">
        <f t="shared" si="5"/>
        <v>BOURGOGNE-FRANCHE-COMTÉ|71 - Saône-et-Loire|CU Le Creusot Montceau-les-Mines</v>
      </c>
      <c r="O81" t="str">
        <f t="shared" si="6"/>
        <v>Province</v>
      </c>
    </row>
    <row r="82" spans="1:15" x14ac:dyDescent="0.25">
      <c r="A82" t="s">
        <v>146</v>
      </c>
      <c r="B82" t="str">
        <f t="shared" si="7"/>
        <v>Yonne</v>
      </c>
      <c r="C82" t="s">
        <v>196</v>
      </c>
      <c r="D82" t="s">
        <v>197</v>
      </c>
      <c r="E82">
        <v>200067114</v>
      </c>
      <c r="F82">
        <v>2024</v>
      </c>
      <c r="G82" t="s">
        <v>21</v>
      </c>
      <c r="H82" s="1">
        <v>9594</v>
      </c>
      <c r="I82" s="4">
        <v>13128</v>
      </c>
      <c r="J82" s="4">
        <v>18180</v>
      </c>
      <c r="K82" s="1">
        <f t="shared" si="8"/>
        <v>799.5</v>
      </c>
      <c r="L82" s="1">
        <f t="shared" si="8"/>
        <v>1094</v>
      </c>
      <c r="M82" s="1">
        <f t="shared" si="8"/>
        <v>1515</v>
      </c>
      <c r="N82" t="str">
        <f t="shared" si="5"/>
        <v>BOURGOGNE-FRANCHE-COMTÉ|89 - Yonne|CA de l'Auxerrois</v>
      </c>
      <c r="O82" t="str">
        <f t="shared" si="6"/>
        <v>Province</v>
      </c>
    </row>
    <row r="83" spans="1:15" x14ac:dyDescent="0.25">
      <c r="A83" t="s">
        <v>146</v>
      </c>
      <c r="B83" t="str">
        <f t="shared" si="7"/>
        <v>Yonne</v>
      </c>
      <c r="C83" t="s">
        <v>196</v>
      </c>
      <c r="D83" t="s">
        <v>199</v>
      </c>
      <c r="E83">
        <v>248900334</v>
      </c>
      <c r="F83">
        <v>2024</v>
      </c>
      <c r="G83" t="s">
        <v>21</v>
      </c>
      <c r="H83" s="1">
        <v>9725</v>
      </c>
      <c r="I83" s="4">
        <v>13607</v>
      </c>
      <c r="J83" s="4">
        <v>18540</v>
      </c>
      <c r="K83" s="1">
        <f t="shared" si="8"/>
        <v>810.41666666666663</v>
      </c>
      <c r="L83" s="1">
        <f t="shared" si="8"/>
        <v>1133.9166666666667</v>
      </c>
      <c r="M83" s="1">
        <f t="shared" si="8"/>
        <v>1545</v>
      </c>
      <c r="N83" t="str">
        <f t="shared" si="5"/>
        <v>BOURGOGNE-FRANCHE-COMTÉ|89 - Yonne|CA du Grand Sénonais</v>
      </c>
      <c r="O83" t="str">
        <f t="shared" si="6"/>
        <v>Province</v>
      </c>
    </row>
    <row r="84" spans="1:15" x14ac:dyDescent="0.25">
      <c r="A84" t="s">
        <v>146</v>
      </c>
      <c r="B84" t="str">
        <f t="shared" si="7"/>
        <v>Yonne</v>
      </c>
      <c r="C84" t="s">
        <v>196</v>
      </c>
      <c r="D84" t="s">
        <v>201</v>
      </c>
      <c r="E84">
        <v>248900383</v>
      </c>
      <c r="F84">
        <v>2024</v>
      </c>
      <c r="G84" t="s">
        <v>21</v>
      </c>
      <c r="H84" s="1">
        <v>8867</v>
      </c>
      <c r="I84" s="4">
        <v>12660</v>
      </c>
      <c r="J84" s="4">
        <v>16800</v>
      </c>
      <c r="K84" s="1">
        <f t="shared" si="8"/>
        <v>738.91666666666663</v>
      </c>
      <c r="L84" s="1">
        <f t="shared" si="8"/>
        <v>1055</v>
      </c>
      <c r="M84" s="1">
        <f t="shared" si="8"/>
        <v>1400</v>
      </c>
      <c r="N84" t="str">
        <f t="shared" si="5"/>
        <v>BOURGOGNE-FRANCHE-COMTÉ|89 - Yonne|CC de l'Agglomération Migennoise</v>
      </c>
      <c r="O84" t="str">
        <f t="shared" si="6"/>
        <v>Province</v>
      </c>
    </row>
    <row r="85" spans="1:15" x14ac:dyDescent="0.25">
      <c r="A85" t="s">
        <v>146</v>
      </c>
      <c r="B85" t="str">
        <f t="shared" si="7"/>
        <v>Yonne</v>
      </c>
      <c r="C85" t="s">
        <v>196</v>
      </c>
      <c r="D85" t="s">
        <v>203</v>
      </c>
      <c r="E85">
        <v>248900938</v>
      </c>
      <c r="F85">
        <v>2024</v>
      </c>
      <c r="G85" t="s">
        <v>21</v>
      </c>
      <c r="H85" s="1">
        <v>8485</v>
      </c>
      <c r="I85" s="4">
        <v>11652</v>
      </c>
      <c r="J85" s="4">
        <v>16116</v>
      </c>
      <c r="K85" s="1">
        <f t="shared" si="8"/>
        <v>707.08333333333337</v>
      </c>
      <c r="L85" s="1">
        <f t="shared" si="8"/>
        <v>971</v>
      </c>
      <c r="M85" s="1">
        <f t="shared" si="8"/>
        <v>1343</v>
      </c>
      <c r="N85" t="str">
        <f t="shared" si="5"/>
        <v>BOURGOGNE-FRANCHE-COMTÉ|89 - Yonne|CC du Jovinien</v>
      </c>
      <c r="O85" t="str">
        <f t="shared" si="6"/>
        <v>Province</v>
      </c>
    </row>
    <row r="86" spans="1:15" x14ac:dyDescent="0.25">
      <c r="A86" t="s">
        <v>146</v>
      </c>
      <c r="B86" t="str">
        <f t="shared" si="7"/>
        <v>Territoire de Belfort</v>
      </c>
      <c r="C86" t="s">
        <v>206</v>
      </c>
      <c r="D86" t="s">
        <v>207</v>
      </c>
      <c r="E86">
        <v>200069052</v>
      </c>
      <c r="F86">
        <v>2024</v>
      </c>
      <c r="G86" t="s">
        <v>21</v>
      </c>
      <c r="H86" s="1">
        <v>8080</v>
      </c>
      <c r="I86" s="4">
        <v>12254</v>
      </c>
      <c r="J86" s="4">
        <v>17400</v>
      </c>
      <c r="K86" s="1">
        <f t="shared" si="8"/>
        <v>673.33333333333337</v>
      </c>
      <c r="L86" s="1">
        <f t="shared" si="8"/>
        <v>1021.1666666666666</v>
      </c>
      <c r="M86" s="1">
        <f t="shared" si="8"/>
        <v>1450</v>
      </c>
      <c r="N86" t="str">
        <f t="shared" si="5"/>
        <v>BOURGOGNE-FRANCHE-COMTÉ|90 - Territoire de Belfort|CA Grand Belfort</v>
      </c>
      <c r="O86" t="str">
        <f t="shared" si="6"/>
        <v>Province</v>
      </c>
    </row>
    <row r="87" spans="1:15" x14ac:dyDescent="0.25">
      <c r="A87" t="s">
        <v>209</v>
      </c>
      <c r="B87" t="str">
        <f t="shared" si="7"/>
        <v>Côtes-d'Armor</v>
      </c>
      <c r="C87" t="s">
        <v>211</v>
      </c>
      <c r="D87" t="s">
        <v>212</v>
      </c>
      <c r="E87">
        <v>200068989</v>
      </c>
      <c r="F87">
        <v>2024</v>
      </c>
      <c r="G87" t="s">
        <v>21</v>
      </c>
      <c r="H87" s="1">
        <v>10824</v>
      </c>
      <c r="I87" s="4">
        <v>14400</v>
      </c>
      <c r="J87" s="4">
        <v>18852</v>
      </c>
      <c r="K87" s="1">
        <f t="shared" si="8"/>
        <v>902</v>
      </c>
      <c r="L87" s="1">
        <f t="shared" si="8"/>
        <v>1200</v>
      </c>
      <c r="M87" s="1">
        <f t="shared" si="8"/>
        <v>1571</v>
      </c>
      <c r="N87" t="str">
        <f t="shared" si="5"/>
        <v>BRETAGNE|22 - Côtes-d'Armor|CA Dinan Agglomération</v>
      </c>
      <c r="O87" t="str">
        <f t="shared" si="6"/>
        <v>Province</v>
      </c>
    </row>
    <row r="88" spans="1:15" x14ac:dyDescent="0.25">
      <c r="A88" t="s">
        <v>209</v>
      </c>
      <c r="B88" t="str">
        <f t="shared" si="7"/>
        <v>Côtes-d'Armor</v>
      </c>
      <c r="C88" t="s">
        <v>211</v>
      </c>
      <c r="D88" t="s">
        <v>214</v>
      </c>
      <c r="E88">
        <v>200067981</v>
      </c>
      <c r="F88">
        <v>2024</v>
      </c>
      <c r="G88" t="s">
        <v>21</v>
      </c>
      <c r="H88" s="1">
        <v>9720</v>
      </c>
      <c r="I88" s="4">
        <v>12554</v>
      </c>
      <c r="J88" s="4">
        <v>16812</v>
      </c>
      <c r="K88" s="1">
        <f t="shared" si="8"/>
        <v>810</v>
      </c>
      <c r="L88" s="1">
        <f t="shared" si="8"/>
        <v>1046.1666666666667</v>
      </c>
      <c r="M88" s="1">
        <f t="shared" si="8"/>
        <v>1401</v>
      </c>
      <c r="N88" t="str">
        <f t="shared" si="5"/>
        <v>BRETAGNE|22 - Côtes-d'Armor|CA Guingamp-Paimpol Agglomération de l'Armor à l'Argoat</v>
      </c>
      <c r="O88" t="str">
        <f t="shared" si="6"/>
        <v>Province</v>
      </c>
    </row>
    <row r="89" spans="1:15" x14ac:dyDescent="0.25">
      <c r="A89" t="s">
        <v>209</v>
      </c>
      <c r="B89" t="str">
        <f t="shared" si="7"/>
        <v>Côtes-d'Armor</v>
      </c>
      <c r="C89" t="s">
        <v>211</v>
      </c>
      <c r="D89" t="s">
        <v>216</v>
      </c>
      <c r="E89">
        <v>200069391</v>
      </c>
      <c r="F89">
        <v>2024</v>
      </c>
      <c r="G89" t="s">
        <v>21</v>
      </c>
      <c r="H89" s="1">
        <v>10836</v>
      </c>
      <c r="I89" s="4">
        <v>14025</v>
      </c>
      <c r="J89" s="4">
        <v>18152</v>
      </c>
      <c r="K89" s="1">
        <f t="shared" si="8"/>
        <v>903</v>
      </c>
      <c r="L89" s="1">
        <f t="shared" si="8"/>
        <v>1168.75</v>
      </c>
      <c r="M89" s="1">
        <f t="shared" si="8"/>
        <v>1512.6666666666667</v>
      </c>
      <c r="N89" t="str">
        <f t="shared" si="5"/>
        <v>BRETAGNE|22 - Côtes-d'Armor|CA Lamballe Terre et Mer</v>
      </c>
      <c r="O89" t="str">
        <f t="shared" si="6"/>
        <v>Province</v>
      </c>
    </row>
    <row r="90" spans="1:15" x14ac:dyDescent="0.25">
      <c r="A90" t="s">
        <v>209</v>
      </c>
      <c r="B90" t="str">
        <f t="shared" si="7"/>
        <v>Côtes-d'Armor</v>
      </c>
      <c r="C90" t="s">
        <v>211</v>
      </c>
      <c r="D90" t="s">
        <v>218</v>
      </c>
      <c r="E90">
        <v>200065928</v>
      </c>
      <c r="F90">
        <v>2024</v>
      </c>
      <c r="G90" t="s">
        <v>21</v>
      </c>
      <c r="H90" s="1">
        <v>10548</v>
      </c>
      <c r="I90" s="4">
        <v>13607</v>
      </c>
      <c r="J90" s="4">
        <v>18444</v>
      </c>
      <c r="K90" s="1">
        <f t="shared" si="8"/>
        <v>879</v>
      </c>
      <c r="L90" s="1">
        <f t="shared" si="8"/>
        <v>1133.9166666666667</v>
      </c>
      <c r="M90" s="1">
        <f t="shared" si="8"/>
        <v>1537</v>
      </c>
      <c r="N90" t="str">
        <f t="shared" si="5"/>
        <v>BRETAGNE|22 - Côtes-d'Armor|CA Lannion-Trégor Communauté</v>
      </c>
      <c r="O90" t="str">
        <f t="shared" si="6"/>
        <v>Province</v>
      </c>
    </row>
    <row r="91" spans="1:15" x14ac:dyDescent="0.25">
      <c r="A91" t="s">
        <v>209</v>
      </c>
      <c r="B91" t="str">
        <f t="shared" si="7"/>
        <v>Côtes-d'Armor</v>
      </c>
      <c r="C91" t="s">
        <v>211</v>
      </c>
      <c r="D91" t="s">
        <v>220</v>
      </c>
      <c r="E91">
        <v>200069409</v>
      </c>
      <c r="F91">
        <v>2024</v>
      </c>
      <c r="G91" t="s">
        <v>21</v>
      </c>
      <c r="H91" s="1">
        <v>9389</v>
      </c>
      <c r="I91" s="4">
        <v>12932</v>
      </c>
      <c r="J91" s="4">
        <v>17747</v>
      </c>
      <c r="K91" s="1">
        <f t="shared" si="8"/>
        <v>782.41666666666663</v>
      </c>
      <c r="L91" s="1">
        <f t="shared" si="8"/>
        <v>1077.6666666666667</v>
      </c>
      <c r="M91" s="1">
        <f t="shared" si="8"/>
        <v>1478.9166666666667</v>
      </c>
      <c r="N91" t="str">
        <f t="shared" si="5"/>
        <v>BRETAGNE|22 - Côtes-d'Armor|CA Saint-Brieuc Armor Agglomération</v>
      </c>
      <c r="O91" t="str">
        <f t="shared" si="6"/>
        <v>Province</v>
      </c>
    </row>
    <row r="92" spans="1:15" x14ac:dyDescent="0.25">
      <c r="A92" t="s">
        <v>209</v>
      </c>
      <c r="B92" t="str">
        <f t="shared" si="7"/>
        <v>Côtes-d'Armor</v>
      </c>
      <c r="C92" t="s">
        <v>211</v>
      </c>
      <c r="D92" t="s">
        <v>222</v>
      </c>
      <c r="E92">
        <v>245614433</v>
      </c>
      <c r="F92">
        <v>2024</v>
      </c>
      <c r="G92" t="s">
        <v>21</v>
      </c>
      <c r="H92" s="1">
        <v>9168</v>
      </c>
      <c r="I92" s="4">
        <v>12528</v>
      </c>
      <c r="J92" s="4">
        <v>16800</v>
      </c>
      <c r="K92" s="1">
        <f t="shared" si="8"/>
        <v>764</v>
      </c>
      <c r="L92" s="1">
        <f t="shared" si="8"/>
        <v>1044</v>
      </c>
      <c r="M92" s="1">
        <f t="shared" si="8"/>
        <v>1400</v>
      </c>
      <c r="N92" t="str">
        <f t="shared" si="5"/>
        <v>BRETAGNE|22 - Côtes-d'Armor|CC Pontivy Communauté</v>
      </c>
      <c r="O92" t="str">
        <f t="shared" si="6"/>
        <v>Province</v>
      </c>
    </row>
    <row r="93" spans="1:15" x14ac:dyDescent="0.25">
      <c r="A93" t="s">
        <v>209</v>
      </c>
      <c r="B93" t="str">
        <f t="shared" si="7"/>
        <v>Finistère</v>
      </c>
      <c r="C93" t="s">
        <v>225</v>
      </c>
      <c r="D93" t="s">
        <v>226</v>
      </c>
      <c r="E93">
        <v>242900314</v>
      </c>
      <c r="F93">
        <v>2024</v>
      </c>
      <c r="G93" t="s">
        <v>21</v>
      </c>
      <c r="H93" s="1">
        <v>9995</v>
      </c>
      <c r="I93" s="4">
        <v>13560</v>
      </c>
      <c r="J93" s="4">
        <v>18552</v>
      </c>
      <c r="K93" s="1">
        <f t="shared" si="8"/>
        <v>832.91666666666663</v>
      </c>
      <c r="L93" s="1">
        <f t="shared" si="8"/>
        <v>1130</v>
      </c>
      <c r="M93" s="1">
        <f t="shared" si="8"/>
        <v>1546</v>
      </c>
      <c r="N93" t="str">
        <f t="shared" si="5"/>
        <v>BRETAGNE|29 - Finistère|Brest Métropole</v>
      </c>
      <c r="O93" t="str">
        <f t="shared" si="6"/>
        <v>Province</v>
      </c>
    </row>
    <row r="94" spans="1:15" x14ac:dyDescent="0.25">
      <c r="A94" t="s">
        <v>209</v>
      </c>
      <c r="B94" t="str">
        <f t="shared" si="7"/>
        <v>Finistère</v>
      </c>
      <c r="C94" t="s">
        <v>225</v>
      </c>
      <c r="D94" t="s">
        <v>228</v>
      </c>
      <c r="E94">
        <v>242900769</v>
      </c>
      <c r="F94">
        <v>2024</v>
      </c>
      <c r="G94" t="s">
        <v>21</v>
      </c>
      <c r="H94" s="1">
        <v>11396</v>
      </c>
      <c r="I94" s="4">
        <v>14562</v>
      </c>
      <c r="J94" s="4">
        <v>19230</v>
      </c>
      <c r="K94" s="1">
        <f t="shared" si="8"/>
        <v>949.66666666666663</v>
      </c>
      <c r="L94" s="1">
        <f t="shared" si="8"/>
        <v>1213.5</v>
      </c>
      <c r="M94" s="1">
        <f t="shared" si="8"/>
        <v>1602.5</v>
      </c>
      <c r="N94" t="str">
        <f t="shared" si="5"/>
        <v>BRETAGNE|29 - Finistère|CA Concarneau Cornouaille Agglomération</v>
      </c>
      <c r="O94" t="str">
        <f t="shared" si="6"/>
        <v>Province</v>
      </c>
    </row>
    <row r="95" spans="1:15" x14ac:dyDescent="0.25">
      <c r="A95" t="s">
        <v>209</v>
      </c>
      <c r="B95" t="str">
        <f t="shared" si="7"/>
        <v>Finistère</v>
      </c>
      <c r="C95" t="s">
        <v>225</v>
      </c>
      <c r="D95" t="s">
        <v>230</v>
      </c>
      <c r="E95">
        <v>242900801</v>
      </c>
      <c r="F95">
        <v>2024</v>
      </c>
      <c r="G95" t="s">
        <v>21</v>
      </c>
      <c r="H95" s="1">
        <v>11160</v>
      </c>
      <c r="I95" s="4">
        <v>14080</v>
      </c>
      <c r="J95" s="4">
        <v>18870</v>
      </c>
      <c r="K95" s="1">
        <f t="shared" si="8"/>
        <v>930</v>
      </c>
      <c r="L95" s="1">
        <f t="shared" si="8"/>
        <v>1173.3333333333333</v>
      </c>
      <c r="M95" s="1">
        <f t="shared" si="8"/>
        <v>1572.5</v>
      </c>
      <c r="N95" t="str">
        <f t="shared" si="5"/>
        <v>BRETAGNE|29 - Finistère|CA du Pays de Landerneau-Daoulas</v>
      </c>
      <c r="O95" t="str">
        <f t="shared" si="6"/>
        <v>Province</v>
      </c>
    </row>
    <row r="96" spans="1:15" x14ac:dyDescent="0.25">
      <c r="A96" t="s">
        <v>209</v>
      </c>
      <c r="B96" t="str">
        <f t="shared" si="7"/>
        <v>Finistère</v>
      </c>
      <c r="C96" t="s">
        <v>225</v>
      </c>
      <c r="D96" t="s">
        <v>232</v>
      </c>
      <c r="E96">
        <v>242900835</v>
      </c>
      <c r="F96">
        <v>2024</v>
      </c>
      <c r="G96" t="s">
        <v>21</v>
      </c>
      <c r="H96" s="1">
        <v>9600</v>
      </c>
      <c r="I96" s="4">
        <v>12474</v>
      </c>
      <c r="J96" s="4">
        <v>16980</v>
      </c>
      <c r="K96" s="1">
        <f t="shared" si="8"/>
        <v>800</v>
      </c>
      <c r="L96" s="1">
        <f t="shared" si="8"/>
        <v>1039.5</v>
      </c>
      <c r="M96" s="1">
        <f t="shared" si="8"/>
        <v>1415</v>
      </c>
      <c r="N96" t="str">
        <f t="shared" si="5"/>
        <v>BRETAGNE|29 - Finistère|CA Morlaix Communauté</v>
      </c>
      <c r="O96" t="str">
        <f t="shared" si="6"/>
        <v>Province</v>
      </c>
    </row>
    <row r="97" spans="1:15" x14ac:dyDescent="0.25">
      <c r="A97" t="s">
        <v>209</v>
      </c>
      <c r="B97" t="str">
        <f t="shared" si="7"/>
        <v>Finistère</v>
      </c>
      <c r="C97" t="s">
        <v>225</v>
      </c>
      <c r="D97" t="s">
        <v>234</v>
      </c>
      <c r="E97">
        <v>200068120</v>
      </c>
      <c r="F97">
        <v>2024</v>
      </c>
      <c r="G97" t="s">
        <v>21</v>
      </c>
      <c r="H97" s="1">
        <v>10955</v>
      </c>
      <c r="I97" s="4">
        <v>14520</v>
      </c>
      <c r="J97" s="4">
        <v>18923</v>
      </c>
      <c r="K97" s="1">
        <f t="shared" si="8"/>
        <v>912.91666666666663</v>
      </c>
      <c r="L97" s="1">
        <f t="shared" si="8"/>
        <v>1210</v>
      </c>
      <c r="M97" s="1">
        <f t="shared" si="8"/>
        <v>1576.9166666666667</v>
      </c>
      <c r="N97" t="str">
        <f t="shared" si="5"/>
        <v>BRETAGNE|29 - Finistère|CA Quimper Bretagne Occidentale</v>
      </c>
      <c r="O97" t="str">
        <f t="shared" si="6"/>
        <v>Province</v>
      </c>
    </row>
    <row r="98" spans="1:15" x14ac:dyDescent="0.25">
      <c r="A98" t="s">
        <v>209</v>
      </c>
      <c r="B98" t="str">
        <f t="shared" si="7"/>
        <v>Finistère</v>
      </c>
      <c r="C98" t="s">
        <v>225</v>
      </c>
      <c r="D98" t="s">
        <v>236</v>
      </c>
      <c r="E98">
        <v>242900694</v>
      </c>
      <c r="F98">
        <v>2024</v>
      </c>
      <c r="G98" t="s">
        <v>21</v>
      </c>
      <c r="H98" s="1">
        <v>10400</v>
      </c>
      <c r="I98" s="4">
        <v>14046</v>
      </c>
      <c r="J98" s="4">
        <v>18672</v>
      </c>
      <c r="K98" s="1">
        <f t="shared" si="8"/>
        <v>866.66666666666663</v>
      </c>
      <c r="L98" s="1">
        <f t="shared" si="8"/>
        <v>1170.5</v>
      </c>
      <c r="M98" s="1">
        <f t="shared" si="8"/>
        <v>1556</v>
      </c>
      <c r="N98" t="str">
        <f t="shared" si="5"/>
        <v>BRETAGNE|29 - Finistère|CA Quimperlé Communauté</v>
      </c>
      <c r="O98" t="str">
        <f t="shared" si="6"/>
        <v>Province</v>
      </c>
    </row>
    <row r="99" spans="1:15" x14ac:dyDescent="0.25">
      <c r="A99" t="s">
        <v>209</v>
      </c>
      <c r="B99" t="str">
        <f t="shared" si="7"/>
        <v>Ille-et-Vilaine</v>
      </c>
      <c r="C99" t="s">
        <v>239</v>
      </c>
      <c r="D99" t="s">
        <v>240</v>
      </c>
      <c r="E99">
        <v>243500782</v>
      </c>
      <c r="F99">
        <v>2024</v>
      </c>
      <c r="G99" t="s">
        <v>21</v>
      </c>
      <c r="H99" s="1">
        <v>11210</v>
      </c>
      <c r="I99" s="4">
        <v>15024</v>
      </c>
      <c r="J99" s="4">
        <v>19692</v>
      </c>
      <c r="K99" s="1">
        <f t="shared" si="8"/>
        <v>934.16666666666663</v>
      </c>
      <c r="L99" s="1">
        <f t="shared" si="8"/>
        <v>1252</v>
      </c>
      <c r="M99" s="1">
        <f t="shared" si="8"/>
        <v>1641</v>
      </c>
      <c r="N99" t="str">
        <f t="shared" si="5"/>
        <v>BRETAGNE|35 - Ille-et-Vilaine|CA du Pays de Saint Malo Agglomération</v>
      </c>
      <c r="O99" t="str">
        <f t="shared" si="6"/>
        <v>Province</v>
      </c>
    </row>
    <row r="100" spans="1:15" x14ac:dyDescent="0.25">
      <c r="A100" t="s">
        <v>209</v>
      </c>
      <c r="B100" t="str">
        <f t="shared" si="7"/>
        <v>Ille-et-Vilaine</v>
      </c>
      <c r="C100" t="s">
        <v>239</v>
      </c>
      <c r="D100" t="s">
        <v>242</v>
      </c>
      <c r="E100">
        <v>200072452</v>
      </c>
      <c r="F100">
        <v>2024</v>
      </c>
      <c r="G100" t="s">
        <v>21</v>
      </c>
      <c r="H100" s="1">
        <v>9903</v>
      </c>
      <c r="I100" s="4">
        <v>12984</v>
      </c>
      <c r="J100" s="4">
        <v>17374</v>
      </c>
      <c r="K100" s="1">
        <f t="shared" si="8"/>
        <v>825.25</v>
      </c>
      <c r="L100" s="1">
        <f t="shared" si="8"/>
        <v>1082</v>
      </c>
      <c r="M100" s="1">
        <f t="shared" si="8"/>
        <v>1447.8333333333333</v>
      </c>
      <c r="N100" t="str">
        <f t="shared" si="5"/>
        <v>BRETAGNE|35 - Ille-et-Vilaine|CA Fougères Agglomération</v>
      </c>
      <c r="O100" t="str">
        <f t="shared" si="6"/>
        <v>Province</v>
      </c>
    </row>
    <row r="101" spans="1:15" x14ac:dyDescent="0.25">
      <c r="A101" t="s">
        <v>209</v>
      </c>
      <c r="B101" t="str">
        <f t="shared" si="7"/>
        <v>Ille-et-Vilaine</v>
      </c>
      <c r="C101" t="s">
        <v>239</v>
      </c>
      <c r="D101" t="s">
        <v>244</v>
      </c>
      <c r="E101">
        <v>243500741</v>
      </c>
      <c r="F101">
        <v>2024</v>
      </c>
      <c r="G101" t="s">
        <v>21</v>
      </c>
      <c r="H101" s="1">
        <v>9360</v>
      </c>
      <c r="I101" s="4">
        <v>12167</v>
      </c>
      <c r="J101" s="4">
        <v>16685</v>
      </c>
      <c r="K101" s="1">
        <f t="shared" si="8"/>
        <v>780</v>
      </c>
      <c r="L101" s="1">
        <f t="shared" si="8"/>
        <v>1013.9166666666666</v>
      </c>
      <c r="M101" s="1">
        <f t="shared" si="8"/>
        <v>1390.4166666666667</v>
      </c>
      <c r="N101" t="str">
        <f t="shared" si="5"/>
        <v>BRETAGNE|35 - Ille-et-Vilaine|CA Redon Agglomération</v>
      </c>
      <c r="O101" t="str">
        <f t="shared" si="6"/>
        <v>Province</v>
      </c>
    </row>
    <row r="102" spans="1:15" x14ac:dyDescent="0.25">
      <c r="A102" t="s">
        <v>209</v>
      </c>
      <c r="B102" t="str">
        <f t="shared" si="7"/>
        <v>Ille-et-Vilaine</v>
      </c>
      <c r="C102" t="s">
        <v>239</v>
      </c>
      <c r="D102" t="s">
        <v>246</v>
      </c>
      <c r="E102">
        <v>200039022</v>
      </c>
      <c r="F102">
        <v>2024</v>
      </c>
      <c r="G102" t="s">
        <v>21</v>
      </c>
      <c r="H102" s="1">
        <v>10776</v>
      </c>
      <c r="I102" s="4">
        <v>14496</v>
      </c>
      <c r="J102" s="4">
        <v>19044</v>
      </c>
      <c r="K102" s="1">
        <f t="shared" si="8"/>
        <v>898</v>
      </c>
      <c r="L102" s="1">
        <f t="shared" si="8"/>
        <v>1208</v>
      </c>
      <c r="M102" s="1">
        <f t="shared" si="8"/>
        <v>1587</v>
      </c>
      <c r="N102" t="str">
        <f t="shared" si="5"/>
        <v>BRETAGNE|35 - Ille-et-Vilaine|CA Vitré Communauté</v>
      </c>
      <c r="O102" t="str">
        <f t="shared" si="6"/>
        <v>Province</v>
      </c>
    </row>
    <row r="103" spans="1:15" x14ac:dyDescent="0.25">
      <c r="A103" t="s">
        <v>209</v>
      </c>
      <c r="B103" t="str">
        <f t="shared" si="7"/>
        <v>Ille-et-Vilaine</v>
      </c>
      <c r="C103" t="s">
        <v>239</v>
      </c>
      <c r="D103" t="s">
        <v>248</v>
      </c>
      <c r="E103">
        <v>243500139</v>
      </c>
      <c r="F103">
        <v>2024</v>
      </c>
      <c r="G103" t="s">
        <v>21</v>
      </c>
      <c r="H103" s="1">
        <v>8805</v>
      </c>
      <c r="I103" s="4">
        <v>13176</v>
      </c>
      <c r="J103" s="4">
        <v>18432</v>
      </c>
      <c r="K103" s="1">
        <f t="shared" si="8"/>
        <v>733.75</v>
      </c>
      <c r="L103" s="1">
        <f t="shared" si="8"/>
        <v>1098</v>
      </c>
      <c r="M103" s="1">
        <f t="shared" si="8"/>
        <v>1536</v>
      </c>
      <c r="N103" t="str">
        <f t="shared" si="5"/>
        <v>BRETAGNE|35 - Ille-et-Vilaine|Rennes Métropole</v>
      </c>
      <c r="O103" t="str">
        <f t="shared" si="6"/>
        <v>Province</v>
      </c>
    </row>
    <row r="104" spans="1:15" x14ac:dyDescent="0.25">
      <c r="A104" t="s">
        <v>209</v>
      </c>
      <c r="B104" t="str">
        <f t="shared" si="7"/>
        <v>Morbihan</v>
      </c>
      <c r="C104" t="s">
        <v>251</v>
      </c>
      <c r="D104" t="s">
        <v>252</v>
      </c>
      <c r="E104">
        <v>244400610</v>
      </c>
      <c r="F104">
        <v>2024</v>
      </c>
      <c r="G104" t="s">
        <v>21</v>
      </c>
      <c r="H104" s="1">
        <v>11562</v>
      </c>
      <c r="I104" s="4">
        <v>15714</v>
      </c>
      <c r="J104" s="4">
        <v>19920</v>
      </c>
      <c r="K104" s="1">
        <f t="shared" si="8"/>
        <v>963.5</v>
      </c>
      <c r="L104" s="1">
        <f t="shared" si="8"/>
        <v>1309.5</v>
      </c>
      <c r="M104" s="1">
        <f t="shared" si="8"/>
        <v>1660</v>
      </c>
      <c r="N104" t="str">
        <f t="shared" si="5"/>
        <v>BRETAGNE|56 - Morbihan|CA de la Presqu'île de Guérande Atlantique (Cap Atlantique)</v>
      </c>
      <c r="O104" t="str">
        <f t="shared" si="6"/>
        <v>Province</v>
      </c>
    </row>
    <row r="105" spans="1:15" x14ac:dyDescent="0.25">
      <c r="A105" t="s">
        <v>209</v>
      </c>
      <c r="B105" t="str">
        <f t="shared" si="7"/>
        <v>Morbihan</v>
      </c>
      <c r="C105" t="s">
        <v>251</v>
      </c>
      <c r="D105" t="s">
        <v>254</v>
      </c>
      <c r="E105">
        <v>200067932</v>
      </c>
      <c r="F105">
        <v>2024</v>
      </c>
      <c r="G105" t="s">
        <v>21</v>
      </c>
      <c r="H105" s="1">
        <v>10800</v>
      </c>
      <c r="I105" s="4">
        <v>14607</v>
      </c>
      <c r="J105" s="4">
        <v>19235</v>
      </c>
      <c r="K105" s="1">
        <f t="shared" si="8"/>
        <v>900</v>
      </c>
      <c r="L105" s="1">
        <f t="shared" si="8"/>
        <v>1217.25</v>
      </c>
      <c r="M105" s="1">
        <f t="shared" si="8"/>
        <v>1602.9166666666667</v>
      </c>
      <c r="N105" t="str">
        <f t="shared" si="5"/>
        <v>BRETAGNE|56 - Morbihan|CA Golfe du Morbihan - Vannes Agglomération</v>
      </c>
      <c r="O105" t="str">
        <f t="shared" si="6"/>
        <v>Province</v>
      </c>
    </row>
    <row r="106" spans="1:15" x14ac:dyDescent="0.25">
      <c r="A106" t="s">
        <v>209</v>
      </c>
      <c r="B106" t="str">
        <f t="shared" si="7"/>
        <v>Morbihan</v>
      </c>
      <c r="C106" t="s">
        <v>251</v>
      </c>
      <c r="D106" t="s">
        <v>256</v>
      </c>
      <c r="E106">
        <v>200042174</v>
      </c>
      <c r="F106">
        <v>2024</v>
      </c>
      <c r="G106" t="s">
        <v>21</v>
      </c>
      <c r="H106" s="1">
        <v>9753</v>
      </c>
      <c r="I106" s="4">
        <v>13266</v>
      </c>
      <c r="J106" s="4">
        <v>18246</v>
      </c>
      <c r="K106" s="1">
        <f t="shared" si="8"/>
        <v>812.75</v>
      </c>
      <c r="L106" s="1">
        <f t="shared" si="8"/>
        <v>1105.5</v>
      </c>
      <c r="M106" s="1">
        <f t="shared" si="8"/>
        <v>1520.5</v>
      </c>
      <c r="N106" t="str">
        <f t="shared" si="5"/>
        <v>BRETAGNE|56 - Morbihan|CA Lorient Agglomération</v>
      </c>
      <c r="O106" t="str">
        <f t="shared" si="6"/>
        <v>Province</v>
      </c>
    </row>
    <row r="107" spans="1:15" x14ac:dyDescent="0.25">
      <c r="A107" t="s">
        <v>209</v>
      </c>
      <c r="B107" t="str">
        <f t="shared" si="7"/>
        <v>Morbihan</v>
      </c>
      <c r="C107" t="s">
        <v>251</v>
      </c>
      <c r="D107" t="s">
        <v>244</v>
      </c>
      <c r="E107">
        <v>243500741</v>
      </c>
      <c r="F107">
        <v>2024</v>
      </c>
      <c r="G107" t="s">
        <v>21</v>
      </c>
      <c r="H107" s="1">
        <v>9360</v>
      </c>
      <c r="I107" s="4">
        <v>12167</v>
      </c>
      <c r="J107" s="4">
        <v>16685</v>
      </c>
      <c r="K107" s="1">
        <f t="shared" si="8"/>
        <v>780</v>
      </c>
      <c r="L107" s="1">
        <f t="shared" si="8"/>
        <v>1013.9166666666666</v>
      </c>
      <c r="M107" s="1">
        <f t="shared" si="8"/>
        <v>1390.4166666666667</v>
      </c>
      <c r="N107" t="str">
        <f t="shared" si="5"/>
        <v>BRETAGNE|56 - Morbihan|CA Redon Agglomération</v>
      </c>
      <c r="O107" t="str">
        <f t="shared" si="6"/>
        <v>Province</v>
      </c>
    </row>
    <row r="108" spans="1:15" x14ac:dyDescent="0.25">
      <c r="A108" t="s">
        <v>209</v>
      </c>
      <c r="B108" t="str">
        <f t="shared" si="7"/>
        <v>Morbihan</v>
      </c>
      <c r="C108" t="s">
        <v>251</v>
      </c>
      <c r="D108" t="s">
        <v>258</v>
      </c>
      <c r="E108">
        <v>200043123</v>
      </c>
      <c r="F108">
        <v>2024</v>
      </c>
      <c r="G108" t="s">
        <v>21</v>
      </c>
      <c r="H108" s="1">
        <v>10860</v>
      </c>
      <c r="I108" s="4">
        <v>14409</v>
      </c>
      <c r="J108" s="4">
        <v>19200</v>
      </c>
      <c r="K108" s="1">
        <f t="shared" si="8"/>
        <v>905</v>
      </c>
      <c r="L108" s="1">
        <f t="shared" si="8"/>
        <v>1200.75</v>
      </c>
      <c r="M108" s="1">
        <f t="shared" si="8"/>
        <v>1600</v>
      </c>
      <c r="N108" t="str">
        <f t="shared" si="5"/>
        <v>BRETAGNE|56 - Morbihan|CC Auray Quiberon Terre Atlantique</v>
      </c>
      <c r="O108" t="str">
        <f t="shared" si="6"/>
        <v>Province</v>
      </c>
    </row>
    <row r="109" spans="1:15" x14ac:dyDescent="0.25">
      <c r="A109" t="s">
        <v>209</v>
      </c>
      <c r="B109" t="str">
        <f t="shared" si="7"/>
        <v>Morbihan</v>
      </c>
      <c r="C109" t="s">
        <v>251</v>
      </c>
      <c r="D109" t="s">
        <v>222</v>
      </c>
      <c r="E109">
        <v>245614433</v>
      </c>
      <c r="F109">
        <v>2024</v>
      </c>
      <c r="G109" t="s">
        <v>21</v>
      </c>
      <c r="H109" s="1">
        <v>9168</v>
      </c>
      <c r="I109" s="4">
        <v>12528</v>
      </c>
      <c r="J109" s="4">
        <v>16800</v>
      </c>
      <c r="K109" s="1">
        <f t="shared" si="8"/>
        <v>764</v>
      </c>
      <c r="L109" s="1">
        <f t="shared" si="8"/>
        <v>1044</v>
      </c>
      <c r="M109" s="1">
        <f t="shared" si="8"/>
        <v>1400</v>
      </c>
      <c r="N109" t="str">
        <f t="shared" si="5"/>
        <v>BRETAGNE|56 - Morbihan|CC Pontivy Communauté</v>
      </c>
      <c r="O109" t="str">
        <f t="shared" si="6"/>
        <v>Province</v>
      </c>
    </row>
    <row r="110" spans="1:15" x14ac:dyDescent="0.25">
      <c r="A110" t="s">
        <v>209</v>
      </c>
      <c r="B110" t="str">
        <f t="shared" si="7"/>
        <v>Morbihan</v>
      </c>
      <c r="C110" t="s">
        <v>251</v>
      </c>
      <c r="D110" t="s">
        <v>260</v>
      </c>
      <c r="E110">
        <v>200066777</v>
      </c>
      <c r="F110">
        <v>2024</v>
      </c>
      <c r="G110" t="s">
        <v>21</v>
      </c>
      <c r="H110" s="1">
        <v>8948</v>
      </c>
      <c r="I110" s="4">
        <v>12000</v>
      </c>
      <c r="J110" s="4">
        <v>16800</v>
      </c>
      <c r="K110" s="1">
        <f t="shared" si="8"/>
        <v>745.66666666666663</v>
      </c>
      <c r="L110" s="1">
        <f t="shared" si="8"/>
        <v>1000</v>
      </c>
      <c r="M110" s="1">
        <f t="shared" si="8"/>
        <v>1400</v>
      </c>
      <c r="N110" t="str">
        <f t="shared" si="5"/>
        <v>BRETAGNE|56 - Morbihan|Ploërmel Communauté</v>
      </c>
      <c r="O110" t="str">
        <f t="shared" si="6"/>
        <v>Province</v>
      </c>
    </row>
    <row r="111" spans="1:15" x14ac:dyDescent="0.25">
      <c r="A111" t="s">
        <v>262</v>
      </c>
      <c r="B111" t="str">
        <f t="shared" si="7"/>
        <v>Cher</v>
      </c>
      <c r="C111" t="s">
        <v>264</v>
      </c>
      <c r="D111" t="s">
        <v>265</v>
      </c>
      <c r="E111">
        <v>241800507</v>
      </c>
      <c r="F111">
        <v>2024</v>
      </c>
      <c r="G111" t="s">
        <v>21</v>
      </c>
      <c r="H111" s="1">
        <v>8330</v>
      </c>
      <c r="I111" s="4">
        <v>12000</v>
      </c>
      <c r="J111" s="4">
        <v>17081</v>
      </c>
      <c r="K111" s="1">
        <f t="shared" si="8"/>
        <v>694.16666666666663</v>
      </c>
      <c r="L111" s="1">
        <f t="shared" si="8"/>
        <v>1000</v>
      </c>
      <c r="M111" s="1">
        <f t="shared" si="8"/>
        <v>1423.4166666666667</v>
      </c>
      <c r="N111" t="str">
        <f t="shared" si="5"/>
        <v>CENTRE-VAL DE LOIRE|18 - Cher|CA Bourges Plus</v>
      </c>
      <c r="O111" t="str">
        <f t="shared" si="6"/>
        <v>Province</v>
      </c>
    </row>
    <row r="112" spans="1:15" x14ac:dyDescent="0.25">
      <c r="A112" t="s">
        <v>262</v>
      </c>
      <c r="B112" t="str">
        <f t="shared" si="7"/>
        <v>Cher</v>
      </c>
      <c r="C112" t="s">
        <v>264</v>
      </c>
      <c r="D112" t="s">
        <v>267</v>
      </c>
      <c r="E112">
        <v>200036135</v>
      </c>
      <c r="F112">
        <v>2024</v>
      </c>
      <c r="G112" t="s">
        <v>21</v>
      </c>
      <c r="H112" s="1">
        <v>9049</v>
      </c>
      <c r="I112" s="4">
        <v>12196</v>
      </c>
      <c r="J112" s="4">
        <v>16592</v>
      </c>
      <c r="K112" s="1">
        <f t="shared" si="8"/>
        <v>754.08333333333337</v>
      </c>
      <c r="L112" s="1">
        <f t="shared" si="8"/>
        <v>1016.3333333333334</v>
      </c>
      <c r="M112" s="1">
        <f t="shared" si="8"/>
        <v>1382.6666666666667</v>
      </c>
      <c r="N112" t="str">
        <f t="shared" si="5"/>
        <v>CENTRE-VAL DE LOIRE|18 - Cher|CC Coeur de France</v>
      </c>
      <c r="O112" t="str">
        <f t="shared" si="6"/>
        <v>Province</v>
      </c>
    </row>
    <row r="113" spans="1:15" x14ac:dyDescent="0.25">
      <c r="A113" t="s">
        <v>262</v>
      </c>
      <c r="B113" t="str">
        <f t="shared" si="7"/>
        <v>Cher</v>
      </c>
      <c r="C113" t="s">
        <v>264</v>
      </c>
      <c r="D113" t="s">
        <v>269</v>
      </c>
      <c r="E113">
        <v>200090561</v>
      </c>
      <c r="F113">
        <v>2024</v>
      </c>
      <c r="G113" t="s">
        <v>21</v>
      </c>
      <c r="H113" s="1">
        <v>7276</v>
      </c>
      <c r="I113" s="4">
        <v>11154</v>
      </c>
      <c r="J113" s="4">
        <v>15216</v>
      </c>
      <c r="K113" s="1">
        <f t="shared" si="8"/>
        <v>606.33333333333337</v>
      </c>
      <c r="L113" s="1">
        <f t="shared" si="8"/>
        <v>929.5</v>
      </c>
      <c r="M113" s="1">
        <f t="shared" si="8"/>
        <v>1268</v>
      </c>
      <c r="N113" t="str">
        <f t="shared" si="5"/>
        <v>CENTRE-VAL DE LOIRE|18 - Cher|CC Vierzon-Sologne-Berry</v>
      </c>
      <c r="O113" t="str">
        <f t="shared" si="6"/>
        <v>Province</v>
      </c>
    </row>
    <row r="114" spans="1:15" x14ac:dyDescent="0.25">
      <c r="A114" t="s">
        <v>262</v>
      </c>
      <c r="B114" t="str">
        <f t="shared" si="7"/>
        <v>Eure-et-Loir</v>
      </c>
      <c r="C114" t="s">
        <v>272</v>
      </c>
      <c r="D114" t="s">
        <v>273</v>
      </c>
      <c r="E114">
        <v>200040277</v>
      </c>
      <c r="F114">
        <v>2024</v>
      </c>
      <c r="G114" t="s">
        <v>21</v>
      </c>
      <c r="H114" s="1">
        <v>8847</v>
      </c>
      <c r="I114" s="4">
        <v>13188</v>
      </c>
      <c r="J114" s="4">
        <v>18081</v>
      </c>
      <c r="K114" s="1">
        <f t="shared" si="8"/>
        <v>737.25</v>
      </c>
      <c r="L114" s="1">
        <f t="shared" si="8"/>
        <v>1099</v>
      </c>
      <c r="M114" s="1">
        <f t="shared" si="8"/>
        <v>1506.75</v>
      </c>
      <c r="N114" t="str">
        <f t="shared" si="5"/>
        <v>CENTRE-VAL DE LOIRE|28 - Eure-et-Loir|CA Agglo du Pays de Dreux</v>
      </c>
      <c r="O114" t="str">
        <f t="shared" si="6"/>
        <v>Province</v>
      </c>
    </row>
    <row r="115" spans="1:15" x14ac:dyDescent="0.25">
      <c r="A115" t="s">
        <v>262</v>
      </c>
      <c r="B115" t="str">
        <f t="shared" si="7"/>
        <v>Eure-et-Loir</v>
      </c>
      <c r="C115" t="s">
        <v>272</v>
      </c>
      <c r="D115" t="s">
        <v>275</v>
      </c>
      <c r="E115">
        <v>200033181</v>
      </c>
      <c r="F115">
        <v>2024</v>
      </c>
      <c r="G115" t="s">
        <v>21</v>
      </c>
      <c r="H115" s="1">
        <v>10385</v>
      </c>
      <c r="I115" s="4">
        <v>14664</v>
      </c>
      <c r="J115" s="4">
        <v>19667</v>
      </c>
      <c r="K115" s="1">
        <f t="shared" si="8"/>
        <v>865.41666666666663</v>
      </c>
      <c r="L115" s="1">
        <f t="shared" si="8"/>
        <v>1222</v>
      </c>
      <c r="M115" s="1">
        <f t="shared" si="8"/>
        <v>1638.9166666666667</v>
      </c>
      <c r="N115" t="str">
        <f t="shared" si="5"/>
        <v>CENTRE-VAL DE LOIRE|28 - Eure-et-Loir|CA Chartres Métropole</v>
      </c>
      <c r="O115" t="str">
        <f t="shared" si="6"/>
        <v>Province</v>
      </c>
    </row>
    <row r="116" spans="1:15" x14ac:dyDescent="0.25">
      <c r="A116" t="s">
        <v>262</v>
      </c>
      <c r="B116" t="str">
        <f t="shared" si="7"/>
        <v>Eure-et-Loir</v>
      </c>
      <c r="C116" t="s">
        <v>272</v>
      </c>
      <c r="D116" t="s">
        <v>277</v>
      </c>
      <c r="E116">
        <v>200069961</v>
      </c>
      <c r="F116">
        <v>2024</v>
      </c>
      <c r="G116" t="s">
        <v>21</v>
      </c>
      <c r="H116" s="1">
        <v>8076</v>
      </c>
      <c r="I116" s="4">
        <v>12107</v>
      </c>
      <c r="J116" s="4">
        <v>17492</v>
      </c>
      <c r="K116" s="1">
        <f t="shared" si="8"/>
        <v>673</v>
      </c>
      <c r="L116" s="1">
        <f t="shared" si="8"/>
        <v>1008.9166666666666</v>
      </c>
      <c r="M116" s="1">
        <f t="shared" si="8"/>
        <v>1457.6666666666667</v>
      </c>
      <c r="N116" t="str">
        <f t="shared" si="5"/>
        <v>CENTRE-VAL DE LOIRE|28 - Eure-et-Loir|CC du Grand Châteaudun</v>
      </c>
      <c r="O116" t="str">
        <f t="shared" si="6"/>
        <v>Province</v>
      </c>
    </row>
    <row r="117" spans="1:15" x14ac:dyDescent="0.25">
      <c r="A117" t="s">
        <v>262</v>
      </c>
      <c r="B117" t="str">
        <f t="shared" si="7"/>
        <v>Eure-et-Loir</v>
      </c>
      <c r="C117" t="s">
        <v>272</v>
      </c>
      <c r="D117" t="s">
        <v>279</v>
      </c>
      <c r="E117">
        <v>200006971</v>
      </c>
      <c r="F117">
        <v>2024</v>
      </c>
      <c r="G117" t="s">
        <v>21</v>
      </c>
      <c r="H117" s="1">
        <v>8006</v>
      </c>
      <c r="I117" s="4">
        <v>11762</v>
      </c>
      <c r="J117" s="4">
        <v>15642</v>
      </c>
      <c r="K117" s="1">
        <f t="shared" si="8"/>
        <v>667.16666666666663</v>
      </c>
      <c r="L117" s="1">
        <f t="shared" si="8"/>
        <v>980.16666666666663</v>
      </c>
      <c r="M117" s="1">
        <f t="shared" si="8"/>
        <v>1303.5</v>
      </c>
      <c r="N117" t="str">
        <f t="shared" si="5"/>
        <v>CENTRE-VAL DE LOIRE|28 - Eure-et-Loir|CC du Perche</v>
      </c>
      <c r="O117" t="str">
        <f t="shared" si="6"/>
        <v>Province</v>
      </c>
    </row>
    <row r="118" spans="1:15" x14ac:dyDescent="0.25">
      <c r="A118" t="s">
        <v>262</v>
      </c>
      <c r="B118" t="str">
        <f t="shared" si="7"/>
        <v>Indre</v>
      </c>
      <c r="C118" t="s">
        <v>282</v>
      </c>
      <c r="D118" t="s">
        <v>283</v>
      </c>
      <c r="E118">
        <v>243600327</v>
      </c>
      <c r="F118">
        <v>2024</v>
      </c>
      <c r="G118" t="s">
        <v>21</v>
      </c>
      <c r="H118" s="1">
        <v>8602</v>
      </c>
      <c r="I118" s="4">
        <v>12714</v>
      </c>
      <c r="J118" s="4">
        <v>17435</v>
      </c>
      <c r="K118" s="1">
        <f t="shared" si="8"/>
        <v>716.83333333333337</v>
      </c>
      <c r="L118" s="1">
        <f t="shared" si="8"/>
        <v>1059.5</v>
      </c>
      <c r="M118" s="1">
        <f t="shared" si="8"/>
        <v>1452.9166666666667</v>
      </c>
      <c r="N118" t="str">
        <f t="shared" si="5"/>
        <v>CENTRE-VAL DE LOIRE|36 - Indre|CA Châteauroux Métropole</v>
      </c>
      <c r="O118" t="str">
        <f t="shared" si="6"/>
        <v>Province</v>
      </c>
    </row>
    <row r="119" spans="1:15" x14ac:dyDescent="0.25">
      <c r="A119" t="s">
        <v>262</v>
      </c>
      <c r="B119" t="str">
        <f t="shared" si="7"/>
        <v>Indre-et-Loire</v>
      </c>
      <c r="C119" t="s">
        <v>286</v>
      </c>
      <c r="D119" t="s">
        <v>287</v>
      </c>
      <c r="E119">
        <v>200043065</v>
      </c>
      <c r="F119">
        <v>2024</v>
      </c>
      <c r="G119" t="s">
        <v>21</v>
      </c>
      <c r="H119" s="1">
        <v>10284</v>
      </c>
      <c r="I119" s="4">
        <v>14292</v>
      </c>
      <c r="J119" s="4">
        <v>19053</v>
      </c>
      <c r="K119" s="1">
        <f t="shared" si="8"/>
        <v>857</v>
      </c>
      <c r="L119" s="1">
        <f t="shared" si="8"/>
        <v>1191</v>
      </c>
      <c r="M119" s="1">
        <f t="shared" si="8"/>
        <v>1587.75</v>
      </c>
      <c r="N119" t="str">
        <f t="shared" si="5"/>
        <v>CENTRE-VAL DE LOIRE|37 - Indre-et-Loire|CC du Val d'Amboise</v>
      </c>
      <c r="O119" t="str">
        <f t="shared" si="6"/>
        <v>Province</v>
      </c>
    </row>
    <row r="120" spans="1:15" x14ac:dyDescent="0.25">
      <c r="A120" t="s">
        <v>262</v>
      </c>
      <c r="B120" t="str">
        <f t="shared" si="7"/>
        <v>Indre-et-Loire</v>
      </c>
      <c r="C120" t="s">
        <v>286</v>
      </c>
      <c r="D120" t="s">
        <v>289</v>
      </c>
      <c r="E120">
        <v>200073161</v>
      </c>
      <c r="F120">
        <v>2024</v>
      </c>
      <c r="G120" t="s">
        <v>21</v>
      </c>
      <c r="H120" s="1">
        <v>11225</v>
      </c>
      <c r="I120" s="4">
        <v>16071</v>
      </c>
      <c r="J120" s="4">
        <v>20529</v>
      </c>
      <c r="K120" s="1">
        <f t="shared" si="8"/>
        <v>935.41666666666663</v>
      </c>
      <c r="L120" s="1">
        <f t="shared" si="8"/>
        <v>1339.25</v>
      </c>
      <c r="M120" s="1">
        <f t="shared" si="8"/>
        <v>1710.75</v>
      </c>
      <c r="N120" t="str">
        <f t="shared" si="5"/>
        <v>CENTRE-VAL DE LOIRE|37 - Indre-et-Loire|CC Touraine-Est Vallées</v>
      </c>
      <c r="O120" t="str">
        <f t="shared" si="6"/>
        <v>Province</v>
      </c>
    </row>
    <row r="121" spans="1:15" x14ac:dyDescent="0.25">
      <c r="A121" t="s">
        <v>262</v>
      </c>
      <c r="B121" t="str">
        <f t="shared" si="7"/>
        <v>Indre-et-Loire</v>
      </c>
      <c r="C121" t="s">
        <v>286</v>
      </c>
      <c r="D121" t="s">
        <v>291</v>
      </c>
      <c r="E121">
        <v>243700754</v>
      </c>
      <c r="F121">
        <v>2024</v>
      </c>
      <c r="G121" t="s">
        <v>21</v>
      </c>
      <c r="H121" s="1">
        <v>9840</v>
      </c>
      <c r="I121" s="4">
        <v>13926</v>
      </c>
      <c r="J121" s="4">
        <v>19080</v>
      </c>
      <c r="K121" s="1">
        <f t="shared" si="8"/>
        <v>820</v>
      </c>
      <c r="L121" s="1">
        <f t="shared" si="8"/>
        <v>1160.5</v>
      </c>
      <c r="M121" s="1">
        <f t="shared" si="8"/>
        <v>1590</v>
      </c>
      <c r="N121" t="str">
        <f t="shared" si="5"/>
        <v>CENTRE-VAL DE LOIRE|37 - Indre-et-Loire|Tours Métropole Val de Loire</v>
      </c>
      <c r="O121" t="str">
        <f t="shared" si="6"/>
        <v>Province</v>
      </c>
    </row>
    <row r="122" spans="1:15" x14ac:dyDescent="0.25">
      <c r="A122" t="s">
        <v>262</v>
      </c>
      <c r="B122" t="str">
        <f t="shared" si="7"/>
        <v>Loir-et-Cher</v>
      </c>
      <c r="C122" t="s">
        <v>294</v>
      </c>
      <c r="D122" t="s">
        <v>295</v>
      </c>
      <c r="E122">
        <v>200030385</v>
      </c>
      <c r="F122">
        <v>2024</v>
      </c>
      <c r="G122" t="s">
        <v>21</v>
      </c>
      <c r="H122" s="1">
        <v>9538</v>
      </c>
      <c r="I122" s="4">
        <v>13320</v>
      </c>
      <c r="J122" s="4">
        <v>18000</v>
      </c>
      <c r="K122" s="1">
        <f t="shared" si="8"/>
        <v>794.83333333333337</v>
      </c>
      <c r="L122" s="1">
        <f t="shared" si="8"/>
        <v>1110</v>
      </c>
      <c r="M122" s="1">
        <f t="shared" si="8"/>
        <v>1500</v>
      </c>
      <c r="N122" t="str">
        <f t="shared" si="5"/>
        <v>CENTRE-VAL DE LOIRE|41 - Loir-et-Cher|CA de Blois ''Agglopolys''</v>
      </c>
      <c r="O122" t="str">
        <f t="shared" si="6"/>
        <v>Province</v>
      </c>
    </row>
    <row r="123" spans="1:15" x14ac:dyDescent="0.25">
      <c r="A123" t="s">
        <v>262</v>
      </c>
      <c r="B123" t="str">
        <f t="shared" si="7"/>
        <v>Loir-et-Cher</v>
      </c>
      <c r="C123" t="s">
        <v>294</v>
      </c>
      <c r="D123" t="s">
        <v>297</v>
      </c>
      <c r="E123">
        <v>200072072</v>
      </c>
      <c r="F123">
        <v>2024</v>
      </c>
      <c r="G123" t="s">
        <v>21</v>
      </c>
      <c r="H123" s="1">
        <v>9561</v>
      </c>
      <c r="I123" s="4">
        <v>13641</v>
      </c>
      <c r="J123" s="4">
        <v>18219</v>
      </c>
      <c r="K123" s="1">
        <f t="shared" si="8"/>
        <v>796.75</v>
      </c>
      <c r="L123" s="1">
        <f t="shared" si="8"/>
        <v>1136.75</v>
      </c>
      <c r="M123" s="1">
        <f t="shared" si="8"/>
        <v>1518.25</v>
      </c>
      <c r="N123" t="str">
        <f t="shared" si="5"/>
        <v>CENTRE-VAL DE LOIRE|41 - Loir-et-Cher|CA Territoires Vendômois</v>
      </c>
      <c r="O123" t="str">
        <f t="shared" si="6"/>
        <v>Province</v>
      </c>
    </row>
    <row r="124" spans="1:15" x14ac:dyDescent="0.25">
      <c r="A124" t="s">
        <v>262</v>
      </c>
      <c r="B124" t="str">
        <f t="shared" si="7"/>
        <v>Loir-et-Cher</v>
      </c>
      <c r="C124" t="s">
        <v>294</v>
      </c>
      <c r="D124" t="s">
        <v>299</v>
      </c>
      <c r="E124">
        <v>200018406</v>
      </c>
      <c r="F124">
        <v>2024</v>
      </c>
      <c r="G124" t="s">
        <v>21</v>
      </c>
      <c r="H124" s="1">
        <v>8872</v>
      </c>
      <c r="I124" s="4">
        <v>12674</v>
      </c>
      <c r="J124" s="4">
        <v>17502</v>
      </c>
      <c r="K124" s="1">
        <f t="shared" si="8"/>
        <v>739.33333333333337</v>
      </c>
      <c r="L124" s="1">
        <f t="shared" si="8"/>
        <v>1056.1666666666667</v>
      </c>
      <c r="M124" s="1">
        <f t="shared" si="8"/>
        <v>1458.5</v>
      </c>
      <c r="N124" t="str">
        <f t="shared" si="5"/>
        <v>CENTRE-VAL DE LOIRE|41 - Loir-et-Cher|CC du Romorantinais et du Monestois</v>
      </c>
      <c r="O124" t="str">
        <f t="shared" si="6"/>
        <v>Province</v>
      </c>
    </row>
    <row r="125" spans="1:15" x14ac:dyDescent="0.25">
      <c r="A125" t="s">
        <v>262</v>
      </c>
      <c r="B125" t="str">
        <f t="shared" si="7"/>
        <v>Loiret</v>
      </c>
      <c r="C125" t="s">
        <v>302</v>
      </c>
      <c r="D125" t="s">
        <v>303</v>
      </c>
      <c r="E125">
        <v>244500203</v>
      </c>
      <c r="F125">
        <v>2024</v>
      </c>
      <c r="G125" t="s">
        <v>21</v>
      </c>
      <c r="H125" s="1">
        <v>8492</v>
      </c>
      <c r="I125" s="4">
        <v>12431</v>
      </c>
      <c r="J125" s="4">
        <v>17248</v>
      </c>
      <c r="K125" s="1">
        <f t="shared" si="8"/>
        <v>707.66666666666663</v>
      </c>
      <c r="L125" s="1">
        <f t="shared" si="8"/>
        <v>1035.9166666666667</v>
      </c>
      <c r="M125" s="1">
        <f t="shared" si="8"/>
        <v>1437.3333333333333</v>
      </c>
      <c r="N125" t="str">
        <f t="shared" si="5"/>
        <v>CENTRE-VAL DE LOIRE|45 - Loiret|CA Montargoise et Rives du Loing (AME)</v>
      </c>
      <c r="O125" t="str">
        <f t="shared" si="6"/>
        <v>Province</v>
      </c>
    </row>
    <row r="126" spans="1:15" x14ac:dyDescent="0.25">
      <c r="A126" t="s">
        <v>262</v>
      </c>
      <c r="B126" t="str">
        <f t="shared" si="7"/>
        <v>Loiret</v>
      </c>
      <c r="C126" t="s">
        <v>302</v>
      </c>
      <c r="D126" t="s">
        <v>305</v>
      </c>
      <c r="E126">
        <v>200066280</v>
      </c>
      <c r="F126">
        <v>2024</v>
      </c>
      <c r="G126" t="s">
        <v>21</v>
      </c>
      <c r="H126" s="1">
        <v>9468</v>
      </c>
      <c r="I126" s="4">
        <v>12773</v>
      </c>
      <c r="J126" s="4">
        <v>17594</v>
      </c>
      <c r="K126" s="1">
        <f t="shared" si="8"/>
        <v>789</v>
      </c>
      <c r="L126" s="1">
        <f t="shared" si="8"/>
        <v>1064.4166666666667</v>
      </c>
      <c r="M126" s="1">
        <f t="shared" si="8"/>
        <v>1466.1666666666667</v>
      </c>
      <c r="N126" t="str">
        <f t="shared" si="5"/>
        <v>CENTRE-VAL DE LOIRE|45 - Loiret|CC du Pithiverais</v>
      </c>
      <c r="O126" t="str">
        <f t="shared" si="6"/>
        <v>Province</v>
      </c>
    </row>
    <row r="127" spans="1:15" x14ac:dyDescent="0.25">
      <c r="A127" t="s">
        <v>262</v>
      </c>
      <c r="B127" t="str">
        <f t="shared" si="7"/>
        <v>Loiret</v>
      </c>
      <c r="C127" t="s">
        <v>302</v>
      </c>
      <c r="D127" t="s">
        <v>307</v>
      </c>
      <c r="E127">
        <v>200070100</v>
      </c>
      <c r="F127">
        <v>2024</v>
      </c>
      <c r="G127" t="s">
        <v>21</v>
      </c>
      <c r="H127" s="1">
        <v>9326</v>
      </c>
      <c r="I127" s="4">
        <v>13780</v>
      </c>
      <c r="J127" s="4">
        <v>18655</v>
      </c>
      <c r="K127" s="1">
        <f t="shared" si="8"/>
        <v>777.16666666666663</v>
      </c>
      <c r="L127" s="1">
        <f t="shared" si="8"/>
        <v>1148.3333333333333</v>
      </c>
      <c r="M127" s="1">
        <f t="shared" si="8"/>
        <v>1554.5833333333333</v>
      </c>
      <c r="N127" t="str">
        <f t="shared" si="5"/>
        <v>CENTRE-VAL DE LOIRE|45 - Loiret|CC du Val de Sully</v>
      </c>
      <c r="O127" t="str">
        <f t="shared" si="6"/>
        <v>Province</v>
      </c>
    </row>
    <row r="128" spans="1:15" x14ac:dyDescent="0.25">
      <c r="A128" t="s">
        <v>262</v>
      </c>
      <c r="B128" t="str">
        <f t="shared" si="7"/>
        <v>Loiret</v>
      </c>
      <c r="C128" t="s">
        <v>302</v>
      </c>
      <c r="D128" t="s">
        <v>309</v>
      </c>
      <c r="E128">
        <v>244500211</v>
      </c>
      <c r="F128">
        <v>2024</v>
      </c>
      <c r="G128" t="s">
        <v>21</v>
      </c>
      <c r="H128" s="1">
        <v>8624</v>
      </c>
      <c r="I128" s="4">
        <v>12648</v>
      </c>
      <c r="J128" s="4">
        <v>17017</v>
      </c>
      <c r="K128" s="1">
        <f t="shared" si="8"/>
        <v>718.66666666666663</v>
      </c>
      <c r="L128" s="1">
        <f t="shared" si="8"/>
        <v>1054</v>
      </c>
      <c r="M128" s="1">
        <f t="shared" si="8"/>
        <v>1418.0833333333333</v>
      </c>
      <c r="N128" t="str">
        <f t="shared" si="5"/>
        <v>CENTRE-VAL DE LOIRE|45 - Loiret|CC Giennoises</v>
      </c>
      <c r="O128" t="str">
        <f t="shared" si="6"/>
        <v>Province</v>
      </c>
    </row>
    <row r="129" spans="1:15" x14ac:dyDescent="0.25">
      <c r="A129" t="s">
        <v>262</v>
      </c>
      <c r="B129" t="str">
        <f t="shared" si="7"/>
        <v>Loiret</v>
      </c>
      <c r="C129" t="s">
        <v>302</v>
      </c>
      <c r="D129" t="s">
        <v>311</v>
      </c>
      <c r="E129">
        <v>244500468</v>
      </c>
      <c r="F129">
        <v>2024</v>
      </c>
      <c r="G129" t="s">
        <v>21</v>
      </c>
      <c r="H129" s="1">
        <v>10154</v>
      </c>
      <c r="I129" s="4">
        <v>14400</v>
      </c>
      <c r="J129" s="4">
        <v>19082</v>
      </c>
      <c r="K129" s="1">
        <f t="shared" si="8"/>
        <v>846.16666666666663</v>
      </c>
      <c r="L129" s="1">
        <f t="shared" si="8"/>
        <v>1200</v>
      </c>
      <c r="M129" s="1">
        <f t="shared" si="8"/>
        <v>1590.1666666666667</v>
      </c>
      <c r="N129" t="str">
        <f t="shared" si="5"/>
        <v>CENTRE-VAL DE LOIRE|45 - Loiret|Orléans Métropole</v>
      </c>
      <c r="O129" t="str">
        <f t="shared" si="6"/>
        <v>Province</v>
      </c>
    </row>
    <row r="130" spans="1:15" x14ac:dyDescent="0.25">
      <c r="A130" t="s">
        <v>313</v>
      </c>
      <c r="B130" t="str">
        <f t="shared" si="7"/>
        <v>Corse-du-Sud</v>
      </c>
      <c r="C130" t="s">
        <v>315</v>
      </c>
      <c r="D130" t="s">
        <v>316</v>
      </c>
      <c r="E130">
        <v>242010056</v>
      </c>
      <c r="F130">
        <v>2024</v>
      </c>
      <c r="G130" t="s">
        <v>21</v>
      </c>
      <c r="H130" s="1">
        <v>10836</v>
      </c>
      <c r="I130" s="4">
        <v>14700</v>
      </c>
      <c r="J130" s="4">
        <v>19296</v>
      </c>
      <c r="K130" s="1">
        <f t="shared" si="8"/>
        <v>903</v>
      </c>
      <c r="L130" s="1">
        <f t="shared" si="8"/>
        <v>1225</v>
      </c>
      <c r="M130" s="1">
        <f t="shared" si="8"/>
        <v>1608</v>
      </c>
      <c r="N130" t="str">
        <f t="shared" ref="N130:N193" si="9">SUBSTITUTE(
   UPPER(SUBSTITUTE(TRIM(A130), CHAR(160), " ")) &amp; "|" &amp;
   SUBSTITUTE(TRIM(C130), CHAR(160), " ") &amp; "|" &amp;
   SUBSTITUTE(TRIM(D130), CHAR(160), " "),
   "–", "-"
)</f>
        <v>CORSE|2A - Corse-du-Sud|CA du Pays Ajaccien</v>
      </c>
      <c r="O130" t="str">
        <f t="shared" ref="O130:O193" si="10">IF(A130="Hauts-de-France", "HDF",
IF(A130="Île-de-France", "IDF",
IF(OR(A130="Guadeloupe", A130="Martinique", A130="Guyane", A130="La Réunion", A130="Mayotte"), "OM", "Province")))</f>
        <v>Province</v>
      </c>
    </row>
    <row r="131" spans="1:15" x14ac:dyDescent="0.25">
      <c r="A131" t="s">
        <v>313</v>
      </c>
      <c r="B131" t="str">
        <f t="shared" ref="B131:B194" si="11">MID(C131,6,LEN(C131))</f>
        <v>Corse-du-Sud</v>
      </c>
      <c r="C131" t="s">
        <v>315</v>
      </c>
      <c r="D131" t="s">
        <v>318</v>
      </c>
      <c r="E131">
        <v>200040764</v>
      </c>
      <c r="F131">
        <v>2024</v>
      </c>
      <c r="G131" t="s">
        <v>21</v>
      </c>
      <c r="H131" s="1">
        <v>9906</v>
      </c>
      <c r="I131" s="4">
        <v>12720</v>
      </c>
      <c r="J131" s="4">
        <v>17906</v>
      </c>
      <c r="K131" s="1">
        <f t="shared" ref="K131:M194" si="12">H131/12</f>
        <v>825.5</v>
      </c>
      <c r="L131" s="1">
        <f t="shared" si="12"/>
        <v>1060</v>
      </c>
      <c r="M131" s="1">
        <f t="shared" si="12"/>
        <v>1492.1666666666667</v>
      </c>
      <c r="N131" t="str">
        <f t="shared" si="9"/>
        <v>CORSE|2A - Corse-du-Sud|CC du Sud Corse</v>
      </c>
      <c r="O131" t="str">
        <f t="shared" si="10"/>
        <v>Province</v>
      </c>
    </row>
    <row r="132" spans="1:15" x14ac:dyDescent="0.25">
      <c r="A132" t="s">
        <v>313</v>
      </c>
      <c r="B132" t="str">
        <f t="shared" si="11"/>
        <v>Haute-Corse</v>
      </c>
      <c r="C132" t="s">
        <v>321</v>
      </c>
      <c r="D132" t="s">
        <v>322</v>
      </c>
      <c r="E132">
        <v>242000354</v>
      </c>
      <c r="F132">
        <v>2024</v>
      </c>
      <c r="G132" t="s">
        <v>21</v>
      </c>
      <c r="H132" s="1">
        <v>9923</v>
      </c>
      <c r="I132" s="4">
        <v>12282</v>
      </c>
      <c r="J132" s="4">
        <v>17064</v>
      </c>
      <c r="K132" s="1">
        <f t="shared" si="12"/>
        <v>826.91666666666663</v>
      </c>
      <c r="L132" s="1">
        <f t="shared" si="12"/>
        <v>1023.5</v>
      </c>
      <c r="M132" s="1">
        <f t="shared" si="12"/>
        <v>1422</v>
      </c>
      <c r="N132" t="str">
        <f t="shared" si="9"/>
        <v>CORSE|2B - Haute-Corse|CA de Bastia</v>
      </c>
      <c r="O132" t="str">
        <f t="shared" si="10"/>
        <v>Province</v>
      </c>
    </row>
    <row r="133" spans="1:15" x14ac:dyDescent="0.25">
      <c r="A133" t="s">
        <v>324</v>
      </c>
      <c r="B133" t="str">
        <f t="shared" si="11"/>
        <v>Ardennes</v>
      </c>
      <c r="C133" t="s">
        <v>326</v>
      </c>
      <c r="D133" t="s">
        <v>327</v>
      </c>
      <c r="E133">
        <v>200041630</v>
      </c>
      <c r="F133">
        <v>2024</v>
      </c>
      <c r="G133" t="s">
        <v>21</v>
      </c>
      <c r="H133" s="1">
        <v>8412</v>
      </c>
      <c r="I133" s="4">
        <v>12515</v>
      </c>
      <c r="J133" s="4">
        <v>18000</v>
      </c>
      <c r="K133" s="1">
        <f t="shared" si="12"/>
        <v>701</v>
      </c>
      <c r="L133" s="1">
        <f t="shared" si="12"/>
        <v>1042.9166666666667</v>
      </c>
      <c r="M133" s="1">
        <f t="shared" si="12"/>
        <v>1500</v>
      </c>
      <c r="N133" t="str">
        <f t="shared" si="9"/>
        <v>GRAND EST|08 - Ardennes|Ardenne Métropole</v>
      </c>
      <c r="O133" t="str">
        <f t="shared" si="10"/>
        <v>Province</v>
      </c>
    </row>
    <row r="134" spans="1:15" x14ac:dyDescent="0.25">
      <c r="A134" t="s">
        <v>324</v>
      </c>
      <c r="B134" t="str">
        <f t="shared" si="11"/>
        <v>Ardennes</v>
      </c>
      <c r="C134" t="s">
        <v>326</v>
      </c>
      <c r="D134" t="s">
        <v>329</v>
      </c>
      <c r="E134">
        <v>200043156</v>
      </c>
      <c r="F134">
        <v>2024</v>
      </c>
      <c r="G134" t="s">
        <v>21</v>
      </c>
      <c r="H134" s="1">
        <v>9672</v>
      </c>
      <c r="I134" s="4">
        <v>13524</v>
      </c>
      <c r="J134" s="4">
        <v>18000</v>
      </c>
      <c r="K134" s="1">
        <f t="shared" si="12"/>
        <v>806</v>
      </c>
      <c r="L134" s="1">
        <f t="shared" si="12"/>
        <v>1127</v>
      </c>
      <c r="M134" s="1">
        <f t="shared" si="12"/>
        <v>1500</v>
      </c>
      <c r="N134" t="str">
        <f t="shared" si="9"/>
        <v>GRAND EST|08 - Ardennes|CC du Pays Rethélois</v>
      </c>
      <c r="O134" t="str">
        <f t="shared" si="10"/>
        <v>Province</v>
      </c>
    </row>
    <row r="135" spans="1:15" x14ac:dyDescent="0.25">
      <c r="A135" t="s">
        <v>324</v>
      </c>
      <c r="B135" t="str">
        <f t="shared" si="11"/>
        <v>Aube</v>
      </c>
      <c r="C135" t="s">
        <v>332</v>
      </c>
      <c r="D135" t="s">
        <v>333</v>
      </c>
      <c r="E135">
        <v>200069250</v>
      </c>
      <c r="F135">
        <v>2024</v>
      </c>
      <c r="G135" t="s">
        <v>21</v>
      </c>
      <c r="H135" s="1">
        <v>8302</v>
      </c>
      <c r="I135" s="4">
        <v>12689</v>
      </c>
      <c r="J135" s="4">
        <v>18000</v>
      </c>
      <c r="K135" s="1">
        <f t="shared" si="12"/>
        <v>691.83333333333337</v>
      </c>
      <c r="L135" s="1">
        <f t="shared" si="12"/>
        <v>1057.4166666666667</v>
      </c>
      <c r="M135" s="1">
        <f t="shared" si="12"/>
        <v>1500</v>
      </c>
      <c r="N135" t="str">
        <f t="shared" si="9"/>
        <v>GRAND EST|10 - Aube|CA Troyes Champagne Métropole</v>
      </c>
      <c r="O135" t="str">
        <f t="shared" si="10"/>
        <v>Province</v>
      </c>
    </row>
    <row r="136" spans="1:15" x14ac:dyDescent="0.25">
      <c r="A136" t="s">
        <v>324</v>
      </c>
      <c r="B136" t="str">
        <f t="shared" si="11"/>
        <v>Aube</v>
      </c>
      <c r="C136" t="s">
        <v>332</v>
      </c>
      <c r="D136" t="s">
        <v>335</v>
      </c>
      <c r="E136">
        <v>200000545</v>
      </c>
      <c r="F136">
        <v>2024</v>
      </c>
      <c r="G136" t="s">
        <v>21</v>
      </c>
      <c r="H136" s="1">
        <v>7608</v>
      </c>
      <c r="I136" s="4">
        <v>12000</v>
      </c>
      <c r="J136" s="4">
        <v>16800</v>
      </c>
      <c r="K136" s="1">
        <f t="shared" si="12"/>
        <v>634</v>
      </c>
      <c r="L136" s="1">
        <f t="shared" si="12"/>
        <v>1000</v>
      </c>
      <c r="M136" s="1">
        <f t="shared" si="12"/>
        <v>1400</v>
      </c>
      <c r="N136" t="str">
        <f t="shared" si="9"/>
        <v>GRAND EST|10 - Aube|CC des Portes de Romilly sur Seine</v>
      </c>
      <c r="O136" t="str">
        <f t="shared" si="10"/>
        <v>Province</v>
      </c>
    </row>
    <row r="137" spans="1:15" x14ac:dyDescent="0.25">
      <c r="A137" t="s">
        <v>324</v>
      </c>
      <c r="B137" t="str">
        <f t="shared" si="11"/>
        <v>Marne</v>
      </c>
      <c r="C137" t="s">
        <v>338</v>
      </c>
      <c r="D137" t="s">
        <v>339</v>
      </c>
      <c r="E137">
        <v>200066876</v>
      </c>
      <c r="F137">
        <v>2024</v>
      </c>
      <c r="G137" t="s">
        <v>21</v>
      </c>
      <c r="H137" s="1">
        <v>9688</v>
      </c>
      <c r="I137" s="4">
        <v>14388</v>
      </c>
      <c r="J137" s="4">
        <v>19344</v>
      </c>
      <c r="K137" s="1">
        <f t="shared" si="12"/>
        <v>807.33333333333337</v>
      </c>
      <c r="L137" s="1">
        <f t="shared" si="12"/>
        <v>1199</v>
      </c>
      <c r="M137" s="1">
        <f t="shared" si="12"/>
        <v>1612</v>
      </c>
      <c r="N137" t="str">
        <f t="shared" si="9"/>
        <v>GRAND EST|51 - Marne|CA de Châlons-en-Champagne</v>
      </c>
      <c r="O137" t="str">
        <f t="shared" si="10"/>
        <v>Province</v>
      </c>
    </row>
    <row r="138" spans="1:15" x14ac:dyDescent="0.25">
      <c r="A138" t="s">
        <v>324</v>
      </c>
      <c r="B138" t="str">
        <f t="shared" si="11"/>
        <v>Marne</v>
      </c>
      <c r="C138" t="s">
        <v>338</v>
      </c>
      <c r="D138" t="s">
        <v>341</v>
      </c>
      <c r="E138">
        <v>200068666</v>
      </c>
      <c r="F138">
        <v>2024</v>
      </c>
      <c r="G138" t="s">
        <v>21</v>
      </c>
      <c r="H138" s="1">
        <v>9671</v>
      </c>
      <c r="I138" s="4">
        <v>13488</v>
      </c>
      <c r="J138" s="4">
        <v>18530</v>
      </c>
      <c r="K138" s="1">
        <f t="shared" si="12"/>
        <v>805.91666666666663</v>
      </c>
      <c r="L138" s="1">
        <f t="shared" si="12"/>
        <v>1124</v>
      </c>
      <c r="M138" s="1">
        <f t="shared" si="12"/>
        <v>1544.1666666666667</v>
      </c>
      <c r="N138" t="str">
        <f t="shared" si="9"/>
        <v>GRAND EST|51 - Marne|CA du Grand Saint-Dizier Der et Vallées</v>
      </c>
      <c r="O138" t="str">
        <f t="shared" si="10"/>
        <v>Province</v>
      </c>
    </row>
    <row r="139" spans="1:15" x14ac:dyDescent="0.25">
      <c r="A139" t="s">
        <v>324</v>
      </c>
      <c r="B139" t="str">
        <f t="shared" si="11"/>
        <v>Marne</v>
      </c>
      <c r="C139" t="s">
        <v>338</v>
      </c>
      <c r="D139" t="s">
        <v>343</v>
      </c>
      <c r="E139">
        <v>200067684</v>
      </c>
      <c r="F139">
        <v>2024</v>
      </c>
      <c r="G139" t="s">
        <v>21</v>
      </c>
      <c r="H139" s="1">
        <v>9980</v>
      </c>
      <c r="I139" s="4">
        <v>13846</v>
      </c>
      <c r="J139" s="4">
        <v>18620</v>
      </c>
      <c r="K139" s="1">
        <f t="shared" si="12"/>
        <v>831.66666666666663</v>
      </c>
      <c r="L139" s="1">
        <f t="shared" si="12"/>
        <v>1153.8333333333333</v>
      </c>
      <c r="M139" s="1">
        <f t="shared" si="12"/>
        <v>1551.6666666666667</v>
      </c>
      <c r="N139" t="str">
        <f t="shared" si="9"/>
        <v>GRAND EST|51 - Marne|CA Epernay, Coteaux et Plaine de Champagne</v>
      </c>
      <c r="O139" t="str">
        <f t="shared" si="10"/>
        <v>Province</v>
      </c>
    </row>
    <row r="140" spans="1:15" x14ac:dyDescent="0.25">
      <c r="A140" t="s">
        <v>324</v>
      </c>
      <c r="B140" t="str">
        <f t="shared" si="11"/>
        <v>Marne</v>
      </c>
      <c r="C140" t="s">
        <v>338</v>
      </c>
      <c r="D140" t="s">
        <v>345</v>
      </c>
      <c r="E140">
        <v>200034718</v>
      </c>
      <c r="F140">
        <v>2024</v>
      </c>
      <c r="G140" t="s">
        <v>21</v>
      </c>
      <c r="H140" s="1">
        <v>9600</v>
      </c>
      <c r="I140" s="4">
        <v>13200</v>
      </c>
      <c r="J140" s="4">
        <v>18864</v>
      </c>
      <c r="K140" s="1">
        <f t="shared" si="12"/>
        <v>800</v>
      </c>
      <c r="L140" s="1">
        <f t="shared" si="12"/>
        <v>1100</v>
      </c>
      <c r="M140" s="1">
        <f t="shared" si="12"/>
        <v>1572</v>
      </c>
      <c r="N140" t="str">
        <f t="shared" si="9"/>
        <v>GRAND EST|51 - Marne|CC de Vitry, Champagne et Der</v>
      </c>
      <c r="O140" t="str">
        <f t="shared" si="10"/>
        <v>Province</v>
      </c>
    </row>
    <row r="141" spans="1:15" x14ac:dyDescent="0.25">
      <c r="A141" t="s">
        <v>324</v>
      </c>
      <c r="B141" t="str">
        <f t="shared" si="11"/>
        <v>Marne</v>
      </c>
      <c r="C141" t="s">
        <v>338</v>
      </c>
      <c r="D141" t="s">
        <v>347</v>
      </c>
      <c r="E141">
        <v>200067213</v>
      </c>
      <c r="F141">
        <v>2024</v>
      </c>
      <c r="G141" t="s">
        <v>21</v>
      </c>
      <c r="H141" s="1">
        <v>9777</v>
      </c>
      <c r="I141" s="4">
        <v>14496</v>
      </c>
      <c r="J141" s="4">
        <v>19800</v>
      </c>
      <c r="K141" s="1">
        <f t="shared" si="12"/>
        <v>814.75</v>
      </c>
      <c r="L141" s="1">
        <f t="shared" si="12"/>
        <v>1208</v>
      </c>
      <c r="M141" s="1">
        <f t="shared" si="12"/>
        <v>1650</v>
      </c>
      <c r="N141" t="str">
        <f t="shared" si="9"/>
        <v>GRAND EST|51 - Marne|CU du Grand Reims</v>
      </c>
      <c r="O141" t="str">
        <f t="shared" si="10"/>
        <v>Province</v>
      </c>
    </row>
    <row r="142" spans="1:15" x14ac:dyDescent="0.25">
      <c r="A142" t="s">
        <v>324</v>
      </c>
      <c r="B142" t="str">
        <f t="shared" si="11"/>
        <v>Haute-Marne</v>
      </c>
      <c r="C142" t="s">
        <v>350</v>
      </c>
      <c r="D142" t="s">
        <v>351</v>
      </c>
      <c r="E142">
        <v>200068658</v>
      </c>
      <c r="F142">
        <v>2024</v>
      </c>
      <c r="G142" t="s">
        <v>21</v>
      </c>
      <c r="H142" s="1">
        <v>9808</v>
      </c>
      <c r="I142" s="4">
        <v>13681</v>
      </c>
      <c r="J142" s="4">
        <v>18314</v>
      </c>
      <c r="K142" s="1">
        <f t="shared" si="12"/>
        <v>817.33333333333337</v>
      </c>
      <c r="L142" s="1">
        <f t="shared" si="12"/>
        <v>1140.0833333333333</v>
      </c>
      <c r="M142" s="1">
        <f t="shared" si="12"/>
        <v>1526.1666666666667</v>
      </c>
      <c r="N142" t="str">
        <f t="shared" si="9"/>
        <v>GRAND EST|52 - Haute-Marne|CA de Chaumont</v>
      </c>
      <c r="O142" t="str">
        <f t="shared" si="10"/>
        <v>Province</v>
      </c>
    </row>
    <row r="143" spans="1:15" x14ac:dyDescent="0.25">
      <c r="A143" t="s">
        <v>324</v>
      </c>
      <c r="B143" t="str">
        <f t="shared" si="11"/>
        <v>Haute-Marne</v>
      </c>
      <c r="C143" t="s">
        <v>350</v>
      </c>
      <c r="D143" t="s">
        <v>341</v>
      </c>
      <c r="E143">
        <v>200068666</v>
      </c>
      <c r="F143">
        <v>2024</v>
      </c>
      <c r="G143" t="s">
        <v>21</v>
      </c>
      <c r="H143" s="1">
        <v>9671</v>
      </c>
      <c r="I143" s="4">
        <v>13488</v>
      </c>
      <c r="J143" s="4">
        <v>18530</v>
      </c>
      <c r="K143" s="1">
        <f t="shared" si="12"/>
        <v>805.91666666666663</v>
      </c>
      <c r="L143" s="1">
        <f t="shared" si="12"/>
        <v>1124</v>
      </c>
      <c r="M143" s="1">
        <f t="shared" si="12"/>
        <v>1544.1666666666667</v>
      </c>
      <c r="N143" t="str">
        <f t="shared" si="9"/>
        <v>GRAND EST|52 - Haute-Marne|CA du Grand Saint-Dizier Der et Vallées</v>
      </c>
      <c r="O143" t="str">
        <f t="shared" si="10"/>
        <v>Province</v>
      </c>
    </row>
    <row r="144" spans="1:15" x14ac:dyDescent="0.25">
      <c r="A144" t="s">
        <v>324</v>
      </c>
      <c r="B144" t="str">
        <f t="shared" si="11"/>
        <v>Haute-Marne</v>
      </c>
      <c r="C144" t="s">
        <v>350</v>
      </c>
      <c r="D144" t="s">
        <v>353</v>
      </c>
      <c r="E144">
        <v>200072999</v>
      </c>
      <c r="F144">
        <v>2024</v>
      </c>
      <c r="G144" t="s">
        <v>21</v>
      </c>
      <c r="H144" s="1">
        <v>11340</v>
      </c>
      <c r="I144" s="4">
        <v>14705</v>
      </c>
      <c r="J144" s="4">
        <v>18800</v>
      </c>
      <c r="K144" s="1">
        <f t="shared" si="12"/>
        <v>945</v>
      </c>
      <c r="L144" s="1">
        <f t="shared" si="12"/>
        <v>1225.4166666666667</v>
      </c>
      <c r="M144" s="1">
        <f t="shared" si="12"/>
        <v>1566.6666666666667</v>
      </c>
      <c r="N144" t="str">
        <f t="shared" si="9"/>
        <v>GRAND EST|52 - Haute-Marne|CC du Grand Langres</v>
      </c>
      <c r="O144" t="str">
        <f t="shared" si="10"/>
        <v>Province</v>
      </c>
    </row>
    <row r="145" spans="1:15" x14ac:dyDescent="0.25">
      <c r="A145" t="s">
        <v>324</v>
      </c>
      <c r="B145" t="str">
        <f t="shared" si="11"/>
        <v>Meurthe-et-Moselle</v>
      </c>
      <c r="C145" t="s">
        <v>356</v>
      </c>
      <c r="D145" t="s">
        <v>1089</v>
      </c>
      <c r="E145">
        <v>245400262</v>
      </c>
      <c r="F145">
        <v>2024</v>
      </c>
      <c r="G145" t="s">
        <v>21</v>
      </c>
      <c r="H145" s="1">
        <v>8887</v>
      </c>
      <c r="I145" s="4">
        <v>13716</v>
      </c>
      <c r="J145" s="4">
        <v>19200</v>
      </c>
      <c r="K145" s="1">
        <f t="shared" si="12"/>
        <v>740.58333333333337</v>
      </c>
      <c r="L145" s="1">
        <f t="shared" si="12"/>
        <v>1143</v>
      </c>
      <c r="M145" s="1">
        <f t="shared" si="12"/>
        <v>1600</v>
      </c>
      <c r="N145" t="str">
        <f t="shared" si="9"/>
        <v>GRAND EST|54 - Meurthe-et-Moselle|Agglomération du Grand Longwy</v>
      </c>
      <c r="O145" t="str">
        <f t="shared" si="10"/>
        <v>Province</v>
      </c>
    </row>
    <row r="146" spans="1:15" x14ac:dyDescent="0.25">
      <c r="A146" t="s">
        <v>324</v>
      </c>
      <c r="B146" t="str">
        <f t="shared" si="11"/>
        <v>Meurthe-et-Moselle</v>
      </c>
      <c r="C146" t="s">
        <v>356</v>
      </c>
      <c r="D146" t="s">
        <v>357</v>
      </c>
      <c r="E146">
        <v>200071066</v>
      </c>
      <c r="F146">
        <v>2024</v>
      </c>
      <c r="G146" t="s">
        <v>21</v>
      </c>
      <c r="H146" s="1">
        <v>7970</v>
      </c>
      <c r="I146" s="4">
        <v>11652</v>
      </c>
      <c r="J146" s="4">
        <v>16314</v>
      </c>
      <c r="K146" s="1">
        <f t="shared" si="12"/>
        <v>664.16666666666663</v>
      </c>
      <c r="L146" s="1">
        <f t="shared" si="12"/>
        <v>971</v>
      </c>
      <c r="M146" s="1">
        <f t="shared" si="12"/>
        <v>1359.5</v>
      </c>
      <c r="N146" t="str">
        <f t="shared" si="9"/>
        <v>GRAND EST|54 - Meurthe-et-Moselle|CA de Saint-Dié-des-Vosges</v>
      </c>
      <c r="O146" t="str">
        <f t="shared" si="10"/>
        <v>Province</v>
      </c>
    </row>
    <row r="147" spans="1:15" x14ac:dyDescent="0.25">
      <c r="A147" t="s">
        <v>324</v>
      </c>
      <c r="B147" t="str">
        <f t="shared" si="11"/>
        <v>Meurthe-et-Moselle</v>
      </c>
      <c r="C147" t="s">
        <v>356</v>
      </c>
      <c r="D147" t="s">
        <v>359</v>
      </c>
      <c r="E147">
        <v>245400601</v>
      </c>
      <c r="F147">
        <v>2024</v>
      </c>
      <c r="G147" t="s">
        <v>21</v>
      </c>
      <c r="H147" s="1">
        <v>9431</v>
      </c>
      <c r="I147" s="4">
        <v>13554</v>
      </c>
      <c r="J147" s="4">
        <v>18360</v>
      </c>
      <c r="K147" s="1">
        <f t="shared" si="12"/>
        <v>785.91666666666663</v>
      </c>
      <c r="L147" s="1">
        <f t="shared" si="12"/>
        <v>1129.5</v>
      </c>
      <c r="M147" s="1">
        <f t="shared" si="12"/>
        <v>1530</v>
      </c>
      <c r="N147" t="str">
        <f t="shared" si="9"/>
        <v>GRAND EST|54 - Meurthe-et-Moselle|CC du Bassin de Pompey</v>
      </c>
      <c r="O147" t="str">
        <f t="shared" si="10"/>
        <v>Province</v>
      </c>
    </row>
    <row r="148" spans="1:15" x14ac:dyDescent="0.25">
      <c r="A148" t="s">
        <v>324</v>
      </c>
      <c r="B148" t="str">
        <f t="shared" si="11"/>
        <v>Meurthe-et-Moselle</v>
      </c>
      <c r="C148" t="s">
        <v>356</v>
      </c>
      <c r="D148" t="s">
        <v>361</v>
      </c>
      <c r="E148">
        <v>200041515</v>
      </c>
      <c r="F148">
        <v>2024</v>
      </c>
      <c r="G148" t="s">
        <v>21</v>
      </c>
      <c r="H148" s="1">
        <v>10270</v>
      </c>
      <c r="I148" s="4">
        <v>13800</v>
      </c>
      <c r="J148" s="4">
        <v>18944</v>
      </c>
      <c r="K148" s="1">
        <f t="shared" si="12"/>
        <v>855.83333333333337</v>
      </c>
      <c r="L148" s="1">
        <f t="shared" si="12"/>
        <v>1150</v>
      </c>
      <c r="M148" s="1">
        <f t="shared" si="12"/>
        <v>1578.6666666666667</v>
      </c>
      <c r="N148" t="str">
        <f t="shared" si="9"/>
        <v>GRAND EST|54 - Meurthe-et-Moselle|CC du Bassin de Pont-à-Mousson</v>
      </c>
      <c r="O148" t="str">
        <f t="shared" si="10"/>
        <v>Province</v>
      </c>
    </row>
    <row r="149" spans="1:15" x14ac:dyDescent="0.25">
      <c r="A149" t="s">
        <v>324</v>
      </c>
      <c r="B149" t="str">
        <f t="shared" si="11"/>
        <v>Meurthe-et-Moselle</v>
      </c>
      <c r="C149" t="s">
        <v>356</v>
      </c>
      <c r="D149" t="s">
        <v>363</v>
      </c>
      <c r="E149">
        <v>200070324</v>
      </c>
      <c r="F149">
        <v>2024</v>
      </c>
      <c r="G149" t="s">
        <v>21</v>
      </c>
      <c r="H149" s="1">
        <v>7176</v>
      </c>
      <c r="I149" s="4">
        <v>11275</v>
      </c>
      <c r="J149" s="4">
        <v>15056</v>
      </c>
      <c r="K149" s="1">
        <f t="shared" si="12"/>
        <v>598</v>
      </c>
      <c r="L149" s="1">
        <f t="shared" si="12"/>
        <v>939.58333333333337</v>
      </c>
      <c r="M149" s="1">
        <f t="shared" si="12"/>
        <v>1254.6666666666667</v>
      </c>
      <c r="N149" t="str">
        <f t="shared" si="9"/>
        <v>GRAND EST|54 - Meurthe-et-Moselle|CC du Territoire de Lunéville à Baccarat</v>
      </c>
      <c r="O149" t="str">
        <f t="shared" si="10"/>
        <v>Province</v>
      </c>
    </row>
    <row r="150" spans="1:15" x14ac:dyDescent="0.25">
      <c r="A150" t="s">
        <v>324</v>
      </c>
      <c r="B150" t="str">
        <f t="shared" si="11"/>
        <v>Meurthe-et-Moselle</v>
      </c>
      <c r="C150" t="s">
        <v>356</v>
      </c>
      <c r="D150" t="s">
        <v>365</v>
      </c>
      <c r="E150">
        <v>200070563</v>
      </c>
      <c r="F150">
        <v>2024</v>
      </c>
      <c r="G150" t="s">
        <v>21</v>
      </c>
      <c r="H150" s="1">
        <v>9021</v>
      </c>
      <c r="I150" s="4">
        <v>13093</v>
      </c>
      <c r="J150" s="4">
        <v>18000</v>
      </c>
      <c r="K150" s="1">
        <f t="shared" si="12"/>
        <v>751.75</v>
      </c>
      <c r="L150" s="1">
        <f t="shared" si="12"/>
        <v>1091.0833333333333</v>
      </c>
      <c r="M150" s="1">
        <f t="shared" si="12"/>
        <v>1500</v>
      </c>
      <c r="N150" t="str">
        <f t="shared" si="9"/>
        <v>GRAND EST|54 - Meurthe-et-Moselle|CC Terres Touloises</v>
      </c>
      <c r="O150" t="str">
        <f t="shared" si="10"/>
        <v>Province</v>
      </c>
    </row>
    <row r="151" spans="1:15" x14ac:dyDescent="0.25">
      <c r="A151" t="s">
        <v>324</v>
      </c>
      <c r="B151" t="str">
        <f t="shared" si="11"/>
        <v>Meurthe-et-Moselle</v>
      </c>
      <c r="C151" t="s">
        <v>356</v>
      </c>
      <c r="D151" t="s">
        <v>369</v>
      </c>
      <c r="E151">
        <v>245400676</v>
      </c>
      <c r="F151">
        <v>2024</v>
      </c>
      <c r="G151" t="s">
        <v>21</v>
      </c>
      <c r="H151" s="1">
        <v>8448</v>
      </c>
      <c r="I151" s="4">
        <v>12741</v>
      </c>
      <c r="J151" s="4">
        <v>18000</v>
      </c>
      <c r="K151" s="1">
        <f t="shared" si="12"/>
        <v>704</v>
      </c>
      <c r="L151" s="1">
        <f t="shared" si="12"/>
        <v>1061.75</v>
      </c>
      <c r="M151" s="1">
        <f t="shared" si="12"/>
        <v>1500</v>
      </c>
      <c r="N151" t="str">
        <f t="shared" si="9"/>
        <v>GRAND EST|54 - Meurthe-et-Moselle|Métropole du Grand Nancy</v>
      </c>
      <c r="O151" t="str">
        <f t="shared" si="10"/>
        <v>Province</v>
      </c>
    </row>
    <row r="152" spans="1:15" x14ac:dyDescent="0.25">
      <c r="A152" t="s">
        <v>324</v>
      </c>
      <c r="B152" t="str">
        <f t="shared" si="11"/>
        <v>Meuse</v>
      </c>
      <c r="C152" t="s">
        <v>372</v>
      </c>
      <c r="D152" t="s">
        <v>373</v>
      </c>
      <c r="E152">
        <v>200033025</v>
      </c>
      <c r="F152">
        <v>2024</v>
      </c>
      <c r="G152" t="s">
        <v>21</v>
      </c>
      <c r="H152" s="1">
        <v>8756</v>
      </c>
      <c r="I152" s="4">
        <v>12846</v>
      </c>
      <c r="J152" s="4">
        <v>17460</v>
      </c>
      <c r="K152" s="1">
        <f t="shared" si="12"/>
        <v>729.66666666666663</v>
      </c>
      <c r="L152" s="1">
        <f t="shared" si="12"/>
        <v>1070.5</v>
      </c>
      <c r="M152" s="1">
        <f t="shared" si="12"/>
        <v>1455</v>
      </c>
      <c r="N152" t="str">
        <f t="shared" si="9"/>
        <v>GRAND EST|55 - Meuse|CA de Bar-le-Duc - Sud Meuse</v>
      </c>
      <c r="O152" t="str">
        <f t="shared" si="10"/>
        <v>Province</v>
      </c>
    </row>
    <row r="153" spans="1:15" x14ac:dyDescent="0.25">
      <c r="A153" t="s">
        <v>324</v>
      </c>
      <c r="B153" t="str">
        <f t="shared" si="11"/>
        <v>Meuse</v>
      </c>
      <c r="C153" t="s">
        <v>372</v>
      </c>
      <c r="D153" t="s">
        <v>375</v>
      </c>
      <c r="E153">
        <v>200049187</v>
      </c>
      <c r="F153">
        <v>2024</v>
      </c>
      <c r="G153" t="s">
        <v>21</v>
      </c>
      <c r="H153" s="1">
        <v>8400</v>
      </c>
      <c r="I153" s="4">
        <v>12108</v>
      </c>
      <c r="J153" s="4">
        <v>16736</v>
      </c>
      <c r="K153" s="1">
        <f t="shared" si="12"/>
        <v>700</v>
      </c>
      <c r="L153" s="1">
        <f t="shared" si="12"/>
        <v>1009</v>
      </c>
      <c r="M153" s="1">
        <f t="shared" si="12"/>
        <v>1394.6666666666667</v>
      </c>
      <c r="N153" t="str">
        <f t="shared" si="9"/>
        <v>GRAND EST|55 - Meuse|CA du Grand Verdun</v>
      </c>
      <c r="O153" t="str">
        <f t="shared" si="10"/>
        <v>Province</v>
      </c>
    </row>
    <row r="154" spans="1:15" x14ac:dyDescent="0.25">
      <c r="A154" t="s">
        <v>324</v>
      </c>
      <c r="B154" t="str">
        <f t="shared" si="11"/>
        <v>Moselle</v>
      </c>
      <c r="C154" t="s">
        <v>378</v>
      </c>
      <c r="D154" t="s">
        <v>379</v>
      </c>
      <c r="E154">
        <v>245700372</v>
      </c>
      <c r="F154">
        <v>2024</v>
      </c>
      <c r="G154" t="s">
        <v>21</v>
      </c>
      <c r="H154" s="1">
        <v>7200</v>
      </c>
      <c r="I154" s="4">
        <v>11200</v>
      </c>
      <c r="J154" s="4">
        <v>16000</v>
      </c>
      <c r="K154" s="1">
        <f t="shared" si="12"/>
        <v>600</v>
      </c>
      <c r="L154" s="1">
        <f t="shared" si="12"/>
        <v>933.33333333333337</v>
      </c>
      <c r="M154" s="1">
        <f t="shared" si="12"/>
        <v>1333.3333333333333</v>
      </c>
      <c r="N154" t="str">
        <f t="shared" si="9"/>
        <v>GRAND EST|57 - Moselle|CA de Forbach Porte de France</v>
      </c>
      <c r="O154" t="str">
        <f t="shared" si="10"/>
        <v>Province</v>
      </c>
    </row>
    <row r="155" spans="1:15" x14ac:dyDescent="0.25">
      <c r="A155" t="s">
        <v>324</v>
      </c>
      <c r="B155" t="str">
        <f t="shared" si="11"/>
        <v>Moselle</v>
      </c>
      <c r="C155" t="s">
        <v>378</v>
      </c>
      <c r="D155" t="s">
        <v>385</v>
      </c>
      <c r="E155">
        <v>200067502</v>
      </c>
      <c r="F155">
        <v>2024</v>
      </c>
      <c r="G155" t="s">
        <v>21</v>
      </c>
      <c r="H155" s="1">
        <v>8388</v>
      </c>
      <c r="I155" s="4">
        <v>12590</v>
      </c>
      <c r="J155" s="4">
        <v>18336</v>
      </c>
      <c r="K155" s="1">
        <f t="shared" si="12"/>
        <v>699</v>
      </c>
      <c r="L155" s="1">
        <f t="shared" si="12"/>
        <v>1049.1666666666667</v>
      </c>
      <c r="M155" s="1">
        <f t="shared" si="12"/>
        <v>1528</v>
      </c>
      <c r="N155" t="str">
        <f t="shared" si="9"/>
        <v>GRAND EST|57 - Moselle|CA Saint-Avold Synergie</v>
      </c>
      <c r="O155" t="str">
        <f t="shared" si="10"/>
        <v>Province</v>
      </c>
    </row>
    <row r="156" spans="1:15" x14ac:dyDescent="0.25">
      <c r="A156" t="s">
        <v>324</v>
      </c>
      <c r="B156" t="str">
        <f t="shared" si="11"/>
        <v>Moselle</v>
      </c>
      <c r="C156" t="s">
        <v>378</v>
      </c>
      <c r="D156" t="s">
        <v>387</v>
      </c>
      <c r="E156">
        <v>200070746</v>
      </c>
      <c r="F156">
        <v>2024</v>
      </c>
      <c r="G156" t="s">
        <v>21</v>
      </c>
      <c r="H156" s="1">
        <v>7637</v>
      </c>
      <c r="I156" s="4">
        <v>11472</v>
      </c>
      <c r="J156" s="4">
        <v>15103</v>
      </c>
      <c r="K156" s="1">
        <f t="shared" si="12"/>
        <v>636.41666666666663</v>
      </c>
      <c r="L156" s="1">
        <f t="shared" si="12"/>
        <v>956</v>
      </c>
      <c r="M156" s="1">
        <f t="shared" si="12"/>
        <v>1258.5833333333333</v>
      </c>
      <c r="N156" t="str">
        <f t="shared" si="9"/>
        <v>GRAND EST|57 - Moselle|CA Sarreguemines Confluences</v>
      </c>
      <c r="O156" t="str">
        <f t="shared" si="10"/>
        <v>Province</v>
      </c>
    </row>
    <row r="157" spans="1:15" x14ac:dyDescent="0.25">
      <c r="A157" t="s">
        <v>324</v>
      </c>
      <c r="B157" t="str">
        <f t="shared" si="11"/>
        <v>Moselle</v>
      </c>
      <c r="C157" t="s">
        <v>378</v>
      </c>
      <c r="D157" t="s">
        <v>389</v>
      </c>
      <c r="E157">
        <v>245700398</v>
      </c>
      <c r="F157">
        <v>2024</v>
      </c>
      <c r="G157" t="s">
        <v>21</v>
      </c>
      <c r="H157" s="1">
        <v>8153</v>
      </c>
      <c r="I157" s="4">
        <v>11676</v>
      </c>
      <c r="J157" s="4">
        <v>16925</v>
      </c>
      <c r="K157" s="1">
        <f t="shared" si="12"/>
        <v>679.41666666666663</v>
      </c>
      <c r="L157" s="1">
        <f t="shared" si="12"/>
        <v>973</v>
      </c>
      <c r="M157" s="1">
        <f t="shared" si="12"/>
        <v>1410.4166666666667</v>
      </c>
      <c r="N157" t="str">
        <f t="shared" si="9"/>
        <v>GRAND EST|57 - Moselle|CC de Freyming-Merlebach</v>
      </c>
      <c r="O157" t="str">
        <f t="shared" si="10"/>
        <v>Province</v>
      </c>
    </row>
    <row r="158" spans="1:15" x14ac:dyDescent="0.25">
      <c r="A158" t="s">
        <v>324</v>
      </c>
      <c r="B158" t="str">
        <f t="shared" si="11"/>
        <v>Moselle</v>
      </c>
      <c r="C158" t="s">
        <v>378</v>
      </c>
      <c r="D158" t="s">
        <v>391</v>
      </c>
      <c r="E158">
        <v>245701354</v>
      </c>
      <c r="F158">
        <v>2024</v>
      </c>
      <c r="G158" t="s">
        <v>21</v>
      </c>
      <c r="H158" s="1">
        <v>11418</v>
      </c>
      <c r="I158" s="4">
        <v>15909</v>
      </c>
      <c r="J158" s="4">
        <v>20373</v>
      </c>
      <c r="K158" s="1">
        <f t="shared" si="12"/>
        <v>951.5</v>
      </c>
      <c r="L158" s="1">
        <f t="shared" si="12"/>
        <v>1325.75</v>
      </c>
      <c r="M158" s="1">
        <f t="shared" si="12"/>
        <v>1697.75</v>
      </c>
      <c r="N158" t="str">
        <f t="shared" si="9"/>
        <v>GRAND EST|57 - Moselle|CC de l'Arc Mosellan</v>
      </c>
      <c r="O158" t="str">
        <f t="shared" si="10"/>
        <v>Province</v>
      </c>
    </row>
    <row r="159" spans="1:15" x14ac:dyDescent="0.25">
      <c r="A159" t="s">
        <v>324</v>
      </c>
      <c r="B159" t="str">
        <f t="shared" si="11"/>
        <v>Moselle</v>
      </c>
      <c r="C159" t="s">
        <v>378</v>
      </c>
      <c r="D159" t="s">
        <v>393</v>
      </c>
      <c r="E159">
        <v>245701271</v>
      </c>
      <c r="F159">
        <v>2024</v>
      </c>
      <c r="G159" t="s">
        <v>21</v>
      </c>
      <c r="H159" s="1">
        <v>10932</v>
      </c>
      <c r="I159" s="4">
        <v>15042</v>
      </c>
      <c r="J159" s="4">
        <v>19265</v>
      </c>
      <c r="K159" s="1">
        <f t="shared" si="12"/>
        <v>911</v>
      </c>
      <c r="L159" s="1">
        <f t="shared" si="12"/>
        <v>1253.5</v>
      </c>
      <c r="M159" s="1">
        <f t="shared" si="12"/>
        <v>1605.4166666666667</v>
      </c>
      <c r="N159" t="str">
        <f t="shared" si="9"/>
        <v>GRAND EST|57 - Moselle|CC du Pays Orne Moselle</v>
      </c>
      <c r="O159" t="str">
        <f t="shared" si="10"/>
        <v>Province</v>
      </c>
    </row>
    <row r="160" spans="1:15" x14ac:dyDescent="0.25">
      <c r="A160" t="s">
        <v>324</v>
      </c>
      <c r="B160" t="str">
        <f t="shared" si="11"/>
        <v>Moselle</v>
      </c>
      <c r="C160" t="s">
        <v>378</v>
      </c>
      <c r="D160" t="s">
        <v>395</v>
      </c>
      <c r="E160">
        <v>245701164</v>
      </c>
      <c r="F160">
        <v>2024</v>
      </c>
      <c r="G160" t="s">
        <v>21</v>
      </c>
      <c r="H160" s="1">
        <v>8000</v>
      </c>
      <c r="I160" s="4">
        <v>11652</v>
      </c>
      <c r="J160" s="4">
        <v>16308</v>
      </c>
      <c r="K160" s="1">
        <f t="shared" si="12"/>
        <v>666.66666666666663</v>
      </c>
      <c r="L160" s="1">
        <f t="shared" si="12"/>
        <v>971</v>
      </c>
      <c r="M160" s="1">
        <f t="shared" si="12"/>
        <v>1359</v>
      </c>
      <c r="N160" t="str">
        <f t="shared" si="9"/>
        <v>GRAND EST|57 - Moselle|CC du Warndt</v>
      </c>
      <c r="O160" t="str">
        <f t="shared" si="10"/>
        <v>Province</v>
      </c>
    </row>
    <row r="161" spans="1:15" x14ac:dyDescent="0.25">
      <c r="A161" t="s">
        <v>324</v>
      </c>
      <c r="B161" t="str">
        <f t="shared" si="11"/>
        <v>Moselle</v>
      </c>
      <c r="C161" t="s">
        <v>378</v>
      </c>
      <c r="D161" t="s">
        <v>397</v>
      </c>
      <c r="E161">
        <v>200039949</v>
      </c>
      <c r="F161">
        <v>2024</v>
      </c>
      <c r="G161" t="s">
        <v>21</v>
      </c>
      <c r="H161" s="1">
        <v>10310</v>
      </c>
      <c r="I161" s="4">
        <v>14667</v>
      </c>
      <c r="J161" s="4">
        <v>19752</v>
      </c>
      <c r="K161" s="1">
        <f t="shared" si="12"/>
        <v>859.16666666666663</v>
      </c>
      <c r="L161" s="1">
        <f t="shared" si="12"/>
        <v>1222.25</v>
      </c>
      <c r="M161" s="1">
        <f t="shared" si="12"/>
        <v>1646</v>
      </c>
      <c r="N161" t="str">
        <f t="shared" si="9"/>
        <v>GRAND EST|57 - Moselle|CC Rives de Moselle</v>
      </c>
      <c r="O161" t="str">
        <f t="shared" si="10"/>
        <v>Province</v>
      </c>
    </row>
    <row r="162" spans="1:15" x14ac:dyDescent="0.25">
      <c r="A162" t="s">
        <v>324</v>
      </c>
      <c r="B162" t="str">
        <f t="shared" si="11"/>
        <v>Moselle</v>
      </c>
      <c r="C162" t="s">
        <v>378</v>
      </c>
      <c r="D162" t="s">
        <v>399</v>
      </c>
      <c r="E162">
        <v>200068146</v>
      </c>
      <c r="F162">
        <v>2024</v>
      </c>
      <c r="G162" t="s">
        <v>21</v>
      </c>
      <c r="H162" s="1">
        <v>7078</v>
      </c>
      <c r="I162" s="4">
        <v>11118</v>
      </c>
      <c r="J162" s="4">
        <v>15322</v>
      </c>
      <c r="K162" s="1">
        <f t="shared" si="12"/>
        <v>589.83333333333337</v>
      </c>
      <c r="L162" s="1">
        <f t="shared" si="12"/>
        <v>926.5</v>
      </c>
      <c r="M162" s="1">
        <f t="shared" si="12"/>
        <v>1276.8333333333333</v>
      </c>
      <c r="N162" t="str">
        <f t="shared" si="9"/>
        <v>GRAND EST|57 - Moselle|CC Sarrebourg Moselle Sud</v>
      </c>
      <c r="O162" t="str">
        <f t="shared" si="10"/>
        <v>Province</v>
      </c>
    </row>
    <row r="163" spans="1:15" x14ac:dyDescent="0.25">
      <c r="A163" t="s">
        <v>324</v>
      </c>
      <c r="B163" t="str">
        <f t="shared" si="11"/>
        <v>Moselle</v>
      </c>
      <c r="C163" t="s">
        <v>378</v>
      </c>
      <c r="D163" t="s">
        <v>401</v>
      </c>
      <c r="E163">
        <v>200039865</v>
      </c>
      <c r="F163">
        <v>2024</v>
      </c>
      <c r="G163" t="s">
        <v>21</v>
      </c>
      <c r="H163" s="1">
        <v>9333</v>
      </c>
      <c r="I163" s="4">
        <v>13734</v>
      </c>
      <c r="J163" s="4">
        <v>19061</v>
      </c>
      <c r="K163" s="1">
        <f t="shared" si="12"/>
        <v>777.75</v>
      </c>
      <c r="L163" s="1">
        <f t="shared" si="12"/>
        <v>1144.5</v>
      </c>
      <c r="M163" s="1">
        <f t="shared" si="12"/>
        <v>1588.4166666666667</v>
      </c>
      <c r="N163" t="str">
        <f t="shared" si="9"/>
        <v>GRAND EST|57 - Moselle|Metz Métropole</v>
      </c>
      <c r="O163" t="str">
        <f t="shared" si="10"/>
        <v>Province</v>
      </c>
    </row>
    <row r="164" spans="1:15" x14ac:dyDescent="0.25">
      <c r="A164" t="s">
        <v>324</v>
      </c>
      <c r="B164" t="str">
        <f t="shared" si="11"/>
        <v>Bas-Rhin</v>
      </c>
      <c r="C164" t="s">
        <v>404</v>
      </c>
      <c r="D164" t="s">
        <v>405</v>
      </c>
      <c r="E164">
        <v>200067874</v>
      </c>
      <c r="F164">
        <v>2024</v>
      </c>
      <c r="G164" t="s">
        <v>21</v>
      </c>
      <c r="H164" s="1">
        <v>9792</v>
      </c>
      <c r="I164" s="4">
        <v>13800</v>
      </c>
      <c r="J164" s="4">
        <v>18972</v>
      </c>
      <c r="K164" s="1">
        <f t="shared" si="12"/>
        <v>816</v>
      </c>
      <c r="L164" s="1">
        <f t="shared" si="12"/>
        <v>1150</v>
      </c>
      <c r="M164" s="1">
        <f t="shared" si="12"/>
        <v>1581</v>
      </c>
      <c r="N164" t="str">
        <f t="shared" si="9"/>
        <v>GRAND EST|67 - Bas-Rhin|CA de Haguenau</v>
      </c>
      <c r="O164" t="str">
        <f t="shared" si="10"/>
        <v>Province</v>
      </c>
    </row>
    <row r="165" spans="1:15" x14ac:dyDescent="0.25">
      <c r="A165" t="s">
        <v>324</v>
      </c>
      <c r="B165" t="str">
        <f t="shared" si="11"/>
        <v>Bas-Rhin</v>
      </c>
      <c r="C165" t="s">
        <v>404</v>
      </c>
      <c r="D165" t="s">
        <v>387</v>
      </c>
      <c r="E165">
        <v>200070746</v>
      </c>
      <c r="F165">
        <v>2024</v>
      </c>
      <c r="G165" t="s">
        <v>21</v>
      </c>
      <c r="H165" s="1">
        <v>7637</v>
      </c>
      <c r="I165" s="4">
        <v>11472</v>
      </c>
      <c r="J165" s="4">
        <v>15103</v>
      </c>
      <c r="K165" s="1">
        <f t="shared" si="12"/>
        <v>636.41666666666663</v>
      </c>
      <c r="L165" s="1">
        <f t="shared" si="12"/>
        <v>956</v>
      </c>
      <c r="M165" s="1">
        <f t="shared" si="12"/>
        <v>1258.5833333333333</v>
      </c>
      <c r="N165" t="str">
        <f t="shared" si="9"/>
        <v>GRAND EST|67 - Bas-Rhin|CA Sarreguemines Confluences</v>
      </c>
      <c r="O165" t="str">
        <f t="shared" si="10"/>
        <v>Province</v>
      </c>
    </row>
    <row r="166" spans="1:15" x14ac:dyDescent="0.25">
      <c r="A166" t="s">
        <v>324</v>
      </c>
      <c r="B166" t="str">
        <f t="shared" si="11"/>
        <v>Bas-Rhin</v>
      </c>
      <c r="C166" t="s">
        <v>404</v>
      </c>
      <c r="D166" t="s">
        <v>407</v>
      </c>
      <c r="E166">
        <v>246700967</v>
      </c>
      <c r="F166">
        <v>2024</v>
      </c>
      <c r="G166" t="s">
        <v>21</v>
      </c>
      <c r="H166" s="1">
        <v>9190</v>
      </c>
      <c r="I166" s="4">
        <v>12828</v>
      </c>
      <c r="J166" s="4">
        <v>17987</v>
      </c>
      <c r="K166" s="1">
        <f t="shared" si="12"/>
        <v>765.83333333333337</v>
      </c>
      <c r="L166" s="1">
        <f t="shared" si="12"/>
        <v>1069</v>
      </c>
      <c r="M166" s="1">
        <f t="shared" si="12"/>
        <v>1498.9166666666667</v>
      </c>
      <c r="N166" t="str">
        <f t="shared" si="9"/>
        <v>GRAND EST|67 - Bas-Rhin|CC de Sélestat</v>
      </c>
      <c r="O166" t="str">
        <f t="shared" si="10"/>
        <v>Province</v>
      </c>
    </row>
    <row r="167" spans="1:15" x14ac:dyDescent="0.25">
      <c r="A167" t="s">
        <v>324</v>
      </c>
      <c r="B167" t="str">
        <f t="shared" si="11"/>
        <v>Bas-Rhin</v>
      </c>
      <c r="C167" t="s">
        <v>404</v>
      </c>
      <c r="D167" t="s">
        <v>409</v>
      </c>
      <c r="E167">
        <v>200067924</v>
      </c>
      <c r="F167">
        <v>2024</v>
      </c>
      <c r="G167" t="s">
        <v>21</v>
      </c>
      <c r="H167" s="1">
        <v>10739</v>
      </c>
      <c r="I167" s="4">
        <v>14518</v>
      </c>
      <c r="J167" s="4">
        <v>19200</v>
      </c>
      <c r="K167" s="1">
        <f t="shared" si="12"/>
        <v>894.91666666666663</v>
      </c>
      <c r="L167" s="1">
        <f t="shared" si="12"/>
        <v>1209.8333333333333</v>
      </c>
      <c r="M167" s="1">
        <f t="shared" si="12"/>
        <v>1600</v>
      </c>
      <c r="N167" t="str">
        <f t="shared" si="9"/>
        <v>GRAND EST|67 - Bas-Rhin|CC du Canton d'Erstein</v>
      </c>
      <c r="O167" t="str">
        <f t="shared" si="10"/>
        <v>Province</v>
      </c>
    </row>
    <row r="168" spans="1:15" x14ac:dyDescent="0.25">
      <c r="A168" t="s">
        <v>324</v>
      </c>
      <c r="B168" t="str">
        <f t="shared" si="11"/>
        <v>Bas-Rhin</v>
      </c>
      <c r="C168" t="s">
        <v>404</v>
      </c>
      <c r="D168" t="s">
        <v>411</v>
      </c>
      <c r="E168">
        <v>200068112</v>
      </c>
      <c r="F168">
        <v>2024</v>
      </c>
      <c r="G168" t="s">
        <v>21</v>
      </c>
      <c r="H168" s="1">
        <v>9353</v>
      </c>
      <c r="I168" s="4">
        <v>12854</v>
      </c>
      <c r="J168" s="4">
        <v>16822</v>
      </c>
      <c r="K168" s="1">
        <f t="shared" si="12"/>
        <v>779.41666666666663</v>
      </c>
      <c r="L168" s="1">
        <f t="shared" si="12"/>
        <v>1071.1666666666667</v>
      </c>
      <c r="M168" s="1">
        <f t="shared" si="12"/>
        <v>1401.8333333333333</v>
      </c>
      <c r="N168" t="str">
        <f t="shared" si="9"/>
        <v>GRAND EST|67 - Bas-Rhin|CC du Pays de Saverne</v>
      </c>
      <c r="O168" t="str">
        <f t="shared" si="10"/>
        <v>Province</v>
      </c>
    </row>
    <row r="169" spans="1:15" x14ac:dyDescent="0.25">
      <c r="A169" t="s">
        <v>324</v>
      </c>
      <c r="B169" t="str">
        <f t="shared" si="11"/>
        <v>Bas-Rhin</v>
      </c>
      <c r="C169" t="s">
        <v>404</v>
      </c>
      <c r="D169" t="s">
        <v>413</v>
      </c>
      <c r="E169">
        <v>246700488</v>
      </c>
      <c r="F169">
        <v>2024</v>
      </c>
      <c r="G169" t="s">
        <v>21</v>
      </c>
      <c r="H169" s="1">
        <v>9246</v>
      </c>
      <c r="I169" s="4">
        <v>13440</v>
      </c>
      <c r="J169" s="4">
        <v>18775</v>
      </c>
      <c r="K169" s="1">
        <f t="shared" si="12"/>
        <v>770.5</v>
      </c>
      <c r="L169" s="1">
        <f t="shared" si="12"/>
        <v>1120</v>
      </c>
      <c r="M169" s="1">
        <f t="shared" si="12"/>
        <v>1564.5833333333333</v>
      </c>
      <c r="N169" t="str">
        <f t="shared" si="9"/>
        <v>GRAND EST|67 - Bas-Rhin|Eurométropole de Strasbourg</v>
      </c>
      <c r="O169" t="str">
        <f t="shared" si="10"/>
        <v>Province</v>
      </c>
    </row>
    <row r="170" spans="1:15" x14ac:dyDescent="0.25">
      <c r="A170" t="s">
        <v>324</v>
      </c>
      <c r="B170" t="str">
        <f t="shared" si="11"/>
        <v>Haut-Rhin</v>
      </c>
      <c r="C170" t="s">
        <v>416</v>
      </c>
      <c r="D170" t="s">
        <v>417</v>
      </c>
      <c r="E170">
        <v>246800726</v>
      </c>
      <c r="F170">
        <v>2024</v>
      </c>
      <c r="G170" t="s">
        <v>21</v>
      </c>
      <c r="H170" s="1">
        <v>9479</v>
      </c>
      <c r="I170" s="4">
        <v>13364</v>
      </c>
      <c r="J170" s="4">
        <v>18000</v>
      </c>
      <c r="K170" s="1">
        <f t="shared" si="12"/>
        <v>789.91666666666663</v>
      </c>
      <c r="L170" s="1">
        <f t="shared" si="12"/>
        <v>1113.6666666666667</v>
      </c>
      <c r="M170" s="1">
        <f t="shared" si="12"/>
        <v>1500</v>
      </c>
      <c r="N170" t="str">
        <f t="shared" si="9"/>
        <v>GRAND EST|68 - Haut-Rhin|CA Colmar Agglomération</v>
      </c>
      <c r="O170" t="str">
        <f t="shared" si="10"/>
        <v>Province</v>
      </c>
    </row>
    <row r="171" spans="1:15" x14ac:dyDescent="0.25">
      <c r="A171" t="s">
        <v>324</v>
      </c>
      <c r="B171" t="str">
        <f t="shared" si="11"/>
        <v>Haut-Rhin</v>
      </c>
      <c r="C171" t="s">
        <v>416</v>
      </c>
      <c r="D171" t="s">
        <v>419</v>
      </c>
      <c r="E171">
        <v>200066009</v>
      </c>
      <c r="F171">
        <v>2024</v>
      </c>
      <c r="G171" t="s">
        <v>21</v>
      </c>
      <c r="H171" s="1">
        <v>8880</v>
      </c>
      <c r="I171" s="4">
        <v>12900</v>
      </c>
      <c r="J171" s="4">
        <v>18000</v>
      </c>
      <c r="K171" s="1">
        <f t="shared" si="12"/>
        <v>740</v>
      </c>
      <c r="L171" s="1">
        <f t="shared" si="12"/>
        <v>1075</v>
      </c>
      <c r="M171" s="1">
        <f t="shared" si="12"/>
        <v>1500</v>
      </c>
      <c r="N171" t="str">
        <f t="shared" si="9"/>
        <v>GRAND EST|68 - Haut-Rhin|CA Mulhouse Alsace Agglomération</v>
      </c>
      <c r="O171" t="str">
        <f t="shared" si="10"/>
        <v>Province</v>
      </c>
    </row>
    <row r="172" spans="1:15" x14ac:dyDescent="0.25">
      <c r="A172" t="s">
        <v>324</v>
      </c>
      <c r="B172" t="str">
        <f t="shared" si="11"/>
        <v>Haut-Rhin</v>
      </c>
      <c r="C172" t="s">
        <v>416</v>
      </c>
      <c r="D172" t="s">
        <v>421</v>
      </c>
      <c r="E172">
        <v>200066058</v>
      </c>
      <c r="F172">
        <v>2024</v>
      </c>
      <c r="G172" t="s">
        <v>21</v>
      </c>
      <c r="H172" s="1">
        <v>9731</v>
      </c>
      <c r="I172" s="4">
        <v>13945</v>
      </c>
      <c r="J172" s="4">
        <v>19524</v>
      </c>
      <c r="K172" s="1">
        <f t="shared" si="12"/>
        <v>810.91666666666663</v>
      </c>
      <c r="L172" s="1">
        <f t="shared" si="12"/>
        <v>1162.0833333333333</v>
      </c>
      <c r="M172" s="1">
        <f t="shared" si="12"/>
        <v>1627</v>
      </c>
      <c r="N172" t="str">
        <f t="shared" si="9"/>
        <v>GRAND EST|68 - Haut-Rhin|CA Saint-Louis Agglomération</v>
      </c>
      <c r="O172" t="str">
        <f t="shared" si="10"/>
        <v>Province</v>
      </c>
    </row>
    <row r="173" spans="1:15" x14ac:dyDescent="0.25">
      <c r="A173" t="s">
        <v>324</v>
      </c>
      <c r="B173" t="str">
        <f t="shared" si="11"/>
        <v>Haut-Rhin</v>
      </c>
      <c r="C173" t="s">
        <v>416</v>
      </c>
      <c r="D173" t="s">
        <v>423</v>
      </c>
      <c r="E173">
        <v>246800569</v>
      </c>
      <c r="F173">
        <v>2024</v>
      </c>
      <c r="G173" t="s">
        <v>21</v>
      </c>
      <c r="H173" s="1">
        <v>10515</v>
      </c>
      <c r="I173" s="4">
        <v>13886</v>
      </c>
      <c r="J173" s="4">
        <v>18192</v>
      </c>
      <c r="K173" s="1">
        <f t="shared" si="12"/>
        <v>876.25</v>
      </c>
      <c r="L173" s="1">
        <f t="shared" si="12"/>
        <v>1157.1666666666667</v>
      </c>
      <c r="M173" s="1">
        <f t="shared" si="12"/>
        <v>1516</v>
      </c>
      <c r="N173" t="str">
        <f t="shared" si="9"/>
        <v>GRAND EST|68 - Haut-Rhin|CC de la Région de Guebwiller</v>
      </c>
      <c r="O173" t="str">
        <f t="shared" si="10"/>
        <v>Province</v>
      </c>
    </row>
    <row r="174" spans="1:15" x14ac:dyDescent="0.25">
      <c r="A174" t="s">
        <v>324</v>
      </c>
      <c r="B174" t="str">
        <f t="shared" si="11"/>
        <v>Haut-Rhin</v>
      </c>
      <c r="C174" t="s">
        <v>416</v>
      </c>
      <c r="D174" t="s">
        <v>425</v>
      </c>
      <c r="E174">
        <v>200036465</v>
      </c>
      <c r="F174">
        <v>2024</v>
      </c>
      <c r="G174" t="s">
        <v>21</v>
      </c>
      <c r="H174" s="1">
        <v>9677</v>
      </c>
      <c r="I174" s="4">
        <v>13218</v>
      </c>
      <c r="J174" s="4">
        <v>17964</v>
      </c>
      <c r="K174" s="1">
        <f t="shared" si="12"/>
        <v>806.41666666666663</v>
      </c>
      <c r="L174" s="1">
        <f t="shared" si="12"/>
        <v>1101.5</v>
      </c>
      <c r="M174" s="1">
        <f t="shared" si="12"/>
        <v>1497</v>
      </c>
      <c r="N174" t="str">
        <f t="shared" si="9"/>
        <v>GRAND EST|68 - Haut-Rhin|CC de Thann-Cernay</v>
      </c>
      <c r="O174" t="str">
        <f t="shared" si="10"/>
        <v>Province</v>
      </c>
    </row>
    <row r="175" spans="1:15" x14ac:dyDescent="0.25">
      <c r="A175" t="s">
        <v>324</v>
      </c>
      <c r="B175" t="str">
        <f t="shared" si="11"/>
        <v>Vosges</v>
      </c>
      <c r="C175" t="s">
        <v>428</v>
      </c>
      <c r="D175" t="s">
        <v>429</v>
      </c>
      <c r="E175">
        <v>200068757</v>
      </c>
      <c r="F175">
        <v>2024</v>
      </c>
      <c r="G175" t="s">
        <v>21</v>
      </c>
      <c r="H175" s="1">
        <v>8138</v>
      </c>
      <c r="I175" s="4">
        <v>12000</v>
      </c>
      <c r="J175" s="4">
        <v>17112</v>
      </c>
      <c r="K175" s="1">
        <f t="shared" si="12"/>
        <v>678.16666666666663</v>
      </c>
      <c r="L175" s="1">
        <f t="shared" si="12"/>
        <v>1000</v>
      </c>
      <c r="M175" s="1">
        <f t="shared" si="12"/>
        <v>1426</v>
      </c>
      <c r="N175" t="str">
        <f t="shared" si="9"/>
        <v>GRAND EST|88 - Vosges|CA d'Epinal</v>
      </c>
      <c r="O175" t="str">
        <f t="shared" si="10"/>
        <v>Province</v>
      </c>
    </row>
    <row r="176" spans="1:15" x14ac:dyDescent="0.25">
      <c r="A176" t="s">
        <v>324</v>
      </c>
      <c r="B176" t="str">
        <f t="shared" si="11"/>
        <v>Vosges</v>
      </c>
      <c r="C176" t="s">
        <v>428</v>
      </c>
      <c r="D176" t="s">
        <v>357</v>
      </c>
      <c r="E176">
        <v>200071066</v>
      </c>
      <c r="F176">
        <v>2024</v>
      </c>
      <c r="G176" t="s">
        <v>21</v>
      </c>
      <c r="H176" s="1">
        <v>7970</v>
      </c>
      <c r="I176" s="4">
        <v>11652</v>
      </c>
      <c r="J176" s="4">
        <v>16314</v>
      </c>
      <c r="K176" s="1">
        <f t="shared" si="12"/>
        <v>664.16666666666663</v>
      </c>
      <c r="L176" s="1">
        <f t="shared" si="12"/>
        <v>971</v>
      </c>
      <c r="M176" s="1">
        <f t="shared" si="12"/>
        <v>1359.5</v>
      </c>
      <c r="N176" t="str">
        <f t="shared" si="9"/>
        <v>GRAND EST|88 - Vosges|CA de Saint-Dié-des-Vosges</v>
      </c>
      <c r="O176" t="str">
        <f t="shared" si="10"/>
        <v>Province</v>
      </c>
    </row>
    <row r="177" spans="1:15" x14ac:dyDescent="0.25">
      <c r="A177" t="s">
        <v>324</v>
      </c>
      <c r="B177" t="str">
        <f t="shared" si="11"/>
        <v>Vosges</v>
      </c>
      <c r="C177" t="s">
        <v>428</v>
      </c>
      <c r="D177" t="s">
        <v>431</v>
      </c>
      <c r="E177">
        <v>200068377</v>
      </c>
      <c r="F177">
        <v>2024</v>
      </c>
      <c r="G177" t="s">
        <v>21</v>
      </c>
      <c r="H177" s="1">
        <v>8333</v>
      </c>
      <c r="I177" s="4">
        <v>12420</v>
      </c>
      <c r="J177" s="4">
        <v>17640</v>
      </c>
      <c r="K177" s="1">
        <f t="shared" si="12"/>
        <v>694.41666666666663</v>
      </c>
      <c r="L177" s="1">
        <f t="shared" si="12"/>
        <v>1035</v>
      </c>
      <c r="M177" s="1">
        <f t="shared" si="12"/>
        <v>1470</v>
      </c>
      <c r="N177" t="str">
        <f t="shared" si="9"/>
        <v>GRAND EST|88 - Vosges|CC de la Porte des Vosges Méridionales</v>
      </c>
      <c r="O177" t="str">
        <f t="shared" si="10"/>
        <v>Province</v>
      </c>
    </row>
    <row r="178" spans="1:15" x14ac:dyDescent="0.25">
      <c r="A178" t="s">
        <v>433</v>
      </c>
      <c r="B178" t="str">
        <f t="shared" si="11"/>
        <v>-Guadeloupe</v>
      </c>
      <c r="C178" t="s">
        <v>435</v>
      </c>
      <c r="D178" t="s">
        <v>436</v>
      </c>
      <c r="E178">
        <v>200018653</v>
      </c>
      <c r="F178">
        <v>2024</v>
      </c>
      <c r="G178" t="s">
        <v>21</v>
      </c>
      <c r="H178" s="1">
        <v>8129</v>
      </c>
      <c r="I178" s="4">
        <v>13150</v>
      </c>
      <c r="J178" s="4">
        <v>19472</v>
      </c>
      <c r="K178" s="1">
        <f t="shared" si="12"/>
        <v>677.41666666666663</v>
      </c>
      <c r="L178" s="1">
        <f t="shared" si="12"/>
        <v>1095.8333333333333</v>
      </c>
      <c r="M178" s="1">
        <f t="shared" si="12"/>
        <v>1622.6666666666667</v>
      </c>
      <c r="N178" t="str">
        <f t="shared" si="9"/>
        <v>GUADELOUPE|97 - -Guadeloupe|CA CAP Excellence</v>
      </c>
      <c r="O178" t="str">
        <f t="shared" si="10"/>
        <v>OM</v>
      </c>
    </row>
    <row r="179" spans="1:15" x14ac:dyDescent="0.25">
      <c r="A179" t="s">
        <v>433</v>
      </c>
      <c r="B179" t="str">
        <f t="shared" si="11"/>
        <v>-Guadeloupe</v>
      </c>
      <c r="C179" t="s">
        <v>435</v>
      </c>
      <c r="D179" t="s">
        <v>438</v>
      </c>
      <c r="E179">
        <v>249710062</v>
      </c>
      <c r="F179">
        <v>2024</v>
      </c>
      <c r="G179" t="s">
        <v>21</v>
      </c>
      <c r="H179" s="1">
        <v>8367</v>
      </c>
      <c r="I179" s="4">
        <v>13236</v>
      </c>
      <c r="J179" s="4">
        <v>19470</v>
      </c>
      <c r="K179" s="1">
        <f t="shared" si="12"/>
        <v>697.25</v>
      </c>
      <c r="L179" s="1">
        <f t="shared" si="12"/>
        <v>1103</v>
      </c>
      <c r="M179" s="1">
        <f t="shared" si="12"/>
        <v>1622.5</v>
      </c>
      <c r="N179" t="str">
        <f t="shared" si="9"/>
        <v>GUADELOUPE|97 - -Guadeloupe|CA du Nord Basse-Terre</v>
      </c>
      <c r="O179" t="str">
        <f t="shared" si="10"/>
        <v>OM</v>
      </c>
    </row>
    <row r="180" spans="1:15" x14ac:dyDescent="0.25">
      <c r="A180" t="s">
        <v>433</v>
      </c>
      <c r="B180" t="str">
        <f t="shared" si="11"/>
        <v>-Guadeloupe</v>
      </c>
      <c r="C180" t="s">
        <v>435</v>
      </c>
      <c r="D180" t="s">
        <v>440</v>
      </c>
      <c r="E180">
        <v>200044691</v>
      </c>
      <c r="F180">
        <v>2024</v>
      </c>
      <c r="G180" t="s">
        <v>21</v>
      </c>
      <c r="H180" s="1">
        <v>7200</v>
      </c>
      <c r="I180" s="4">
        <v>11484</v>
      </c>
      <c r="J180" s="4">
        <v>17274</v>
      </c>
      <c r="K180" s="1">
        <f t="shared" si="12"/>
        <v>600</v>
      </c>
      <c r="L180" s="1">
        <f t="shared" si="12"/>
        <v>957</v>
      </c>
      <c r="M180" s="1">
        <f t="shared" si="12"/>
        <v>1439.5</v>
      </c>
      <c r="N180" t="str">
        <f t="shared" si="9"/>
        <v>GUADELOUPE|97 - -Guadeloupe|CA du Nord Grande Terre</v>
      </c>
      <c r="O180" t="str">
        <f t="shared" si="10"/>
        <v>OM</v>
      </c>
    </row>
    <row r="181" spans="1:15" x14ac:dyDescent="0.25">
      <c r="A181" t="s">
        <v>433</v>
      </c>
      <c r="B181" t="str">
        <f t="shared" si="11"/>
        <v>-Guadeloupe</v>
      </c>
      <c r="C181" t="s">
        <v>435</v>
      </c>
      <c r="D181" t="s">
        <v>442</v>
      </c>
      <c r="E181">
        <v>249710070</v>
      </c>
      <c r="F181">
        <v>2024</v>
      </c>
      <c r="G181" t="s">
        <v>21</v>
      </c>
      <c r="H181" s="1">
        <v>7344</v>
      </c>
      <c r="I181" s="4">
        <v>11568</v>
      </c>
      <c r="J181" s="4">
        <v>17397</v>
      </c>
      <c r="K181" s="1">
        <f t="shared" si="12"/>
        <v>612</v>
      </c>
      <c r="L181" s="1">
        <f t="shared" si="12"/>
        <v>964</v>
      </c>
      <c r="M181" s="1">
        <f t="shared" si="12"/>
        <v>1449.75</v>
      </c>
      <c r="N181" t="str">
        <f t="shared" si="9"/>
        <v>GUADELOUPE|97 - -Guadeloupe|CA Grand Sud Caraïbe</v>
      </c>
      <c r="O181" t="str">
        <f t="shared" si="10"/>
        <v>OM</v>
      </c>
    </row>
    <row r="182" spans="1:15" x14ac:dyDescent="0.25">
      <c r="A182" t="s">
        <v>433</v>
      </c>
      <c r="B182" t="str">
        <f t="shared" si="11"/>
        <v>-Guadeloupe</v>
      </c>
      <c r="C182" t="s">
        <v>435</v>
      </c>
      <c r="D182" t="s">
        <v>444</v>
      </c>
      <c r="E182">
        <v>200041507</v>
      </c>
      <c r="F182">
        <v>2024</v>
      </c>
      <c r="G182" t="s">
        <v>21</v>
      </c>
      <c r="H182" s="1">
        <v>7272</v>
      </c>
      <c r="I182" s="4">
        <v>11652</v>
      </c>
      <c r="J182" s="4">
        <v>17863</v>
      </c>
      <c r="K182" s="1">
        <f t="shared" si="12"/>
        <v>606</v>
      </c>
      <c r="L182" s="1">
        <f t="shared" si="12"/>
        <v>971</v>
      </c>
      <c r="M182" s="1">
        <f t="shared" si="12"/>
        <v>1488.5833333333333</v>
      </c>
      <c r="N182" t="str">
        <f t="shared" si="9"/>
        <v>GUADELOUPE|97 - -Guadeloupe|CA La Riviéra du Levant</v>
      </c>
      <c r="O182" t="str">
        <f t="shared" si="10"/>
        <v>OM</v>
      </c>
    </row>
    <row r="183" spans="1:15" x14ac:dyDescent="0.25">
      <c r="A183" t="s">
        <v>446</v>
      </c>
      <c r="B183" t="str">
        <f t="shared" si="11"/>
        <v>-Guyane</v>
      </c>
      <c r="C183" t="s">
        <v>448</v>
      </c>
      <c r="D183" t="s">
        <v>449</v>
      </c>
      <c r="E183">
        <v>249730045</v>
      </c>
      <c r="F183">
        <v>2024</v>
      </c>
      <c r="G183" t="s">
        <v>21</v>
      </c>
      <c r="H183" s="1">
        <v>8317</v>
      </c>
      <c r="I183" s="4">
        <v>13487</v>
      </c>
      <c r="J183" s="4">
        <v>19689</v>
      </c>
      <c r="K183" s="1">
        <f t="shared" si="12"/>
        <v>693.08333333333337</v>
      </c>
      <c r="L183" s="1">
        <f t="shared" si="12"/>
        <v>1123.9166666666667</v>
      </c>
      <c r="M183" s="1">
        <f t="shared" si="12"/>
        <v>1640.75</v>
      </c>
      <c r="N183" t="str">
        <f t="shared" si="9"/>
        <v>GUYANE|97 - -Guyane|CA du Centre Littoral</v>
      </c>
      <c r="O183" t="str">
        <f t="shared" si="10"/>
        <v>OM</v>
      </c>
    </row>
    <row r="184" spans="1:15" x14ac:dyDescent="0.25">
      <c r="A184" t="s">
        <v>446</v>
      </c>
      <c r="B184" t="str">
        <f t="shared" si="11"/>
        <v>-Guyane</v>
      </c>
      <c r="C184" t="s">
        <v>448</v>
      </c>
      <c r="D184" t="s">
        <v>451</v>
      </c>
      <c r="E184">
        <v>249730037</v>
      </c>
      <c r="F184">
        <v>2024</v>
      </c>
      <c r="G184" t="s">
        <v>21</v>
      </c>
      <c r="H184" s="1">
        <v>7131</v>
      </c>
      <c r="I184" s="4">
        <v>10040</v>
      </c>
      <c r="J184" s="4">
        <v>16675</v>
      </c>
      <c r="K184" s="1">
        <f t="shared" si="12"/>
        <v>594.25</v>
      </c>
      <c r="L184" s="1">
        <f t="shared" si="12"/>
        <v>836.66666666666663</v>
      </c>
      <c r="M184" s="1">
        <f t="shared" si="12"/>
        <v>1389.5833333333333</v>
      </c>
      <c r="N184" t="str">
        <f t="shared" si="9"/>
        <v>GUYANE|97 - -Guyane|CC de l'Ouest Guyanais</v>
      </c>
      <c r="O184" t="str">
        <f t="shared" si="10"/>
        <v>OM</v>
      </c>
    </row>
    <row r="185" spans="1:15" x14ac:dyDescent="0.25">
      <c r="A185" t="s">
        <v>446</v>
      </c>
      <c r="B185" t="str">
        <f t="shared" si="11"/>
        <v>-Guyane</v>
      </c>
      <c r="C185" t="s">
        <v>448</v>
      </c>
      <c r="D185" t="s">
        <v>453</v>
      </c>
      <c r="E185">
        <v>200027548</v>
      </c>
      <c r="F185">
        <v>2024</v>
      </c>
      <c r="G185" t="s">
        <v>21</v>
      </c>
      <c r="H185" s="1">
        <v>7761</v>
      </c>
      <c r="I185" s="4">
        <v>12266</v>
      </c>
      <c r="J185" s="4">
        <v>17874</v>
      </c>
      <c r="K185" s="1">
        <f t="shared" si="12"/>
        <v>646.75</v>
      </c>
      <c r="L185" s="1">
        <f t="shared" si="12"/>
        <v>1022.1666666666666</v>
      </c>
      <c r="M185" s="1">
        <f t="shared" si="12"/>
        <v>1489.5</v>
      </c>
      <c r="N185" t="str">
        <f t="shared" si="9"/>
        <v>GUYANE|97 - -Guyane|CC des Savanes</v>
      </c>
      <c r="O185" t="str">
        <f t="shared" si="10"/>
        <v>OM</v>
      </c>
    </row>
    <row r="186" spans="1:15" x14ac:dyDescent="0.25">
      <c r="A186" t="s">
        <v>455</v>
      </c>
      <c r="B186" t="str">
        <f t="shared" si="11"/>
        <v>Aisne</v>
      </c>
      <c r="C186" t="s">
        <v>457</v>
      </c>
      <c r="D186" t="s">
        <v>458</v>
      </c>
      <c r="E186">
        <v>200071785</v>
      </c>
      <c r="F186">
        <v>2024</v>
      </c>
      <c r="G186" t="s">
        <v>21</v>
      </c>
      <c r="H186" s="1">
        <v>7457</v>
      </c>
      <c r="I186" s="4">
        <v>11568</v>
      </c>
      <c r="J186" s="4">
        <v>16239</v>
      </c>
      <c r="K186" s="1">
        <f t="shared" si="12"/>
        <v>621.41666666666663</v>
      </c>
      <c r="L186" s="1">
        <f t="shared" si="12"/>
        <v>964</v>
      </c>
      <c r="M186" s="1">
        <f t="shared" si="12"/>
        <v>1353.25</v>
      </c>
      <c r="N186" t="str">
        <f t="shared" si="9"/>
        <v>HAUTS-DE-FRANCE|02 - Aisne|CA Chauny Tergnier La Fère</v>
      </c>
      <c r="O186" t="str">
        <f t="shared" si="10"/>
        <v>HDF</v>
      </c>
    </row>
    <row r="187" spans="1:15" x14ac:dyDescent="0.25">
      <c r="A187" t="s">
        <v>455</v>
      </c>
      <c r="B187" t="str">
        <f t="shared" si="11"/>
        <v>Aisne</v>
      </c>
      <c r="C187" t="s">
        <v>457</v>
      </c>
      <c r="D187" t="s">
        <v>460</v>
      </c>
      <c r="E187">
        <v>200072031</v>
      </c>
      <c r="F187">
        <v>2024</v>
      </c>
      <c r="G187" t="s">
        <v>21</v>
      </c>
      <c r="H187" s="1">
        <v>8468</v>
      </c>
      <c r="I187" s="4">
        <v>12366</v>
      </c>
      <c r="J187" s="4">
        <v>17532</v>
      </c>
      <c r="K187" s="1">
        <f t="shared" si="12"/>
        <v>705.66666666666663</v>
      </c>
      <c r="L187" s="1">
        <f t="shared" si="12"/>
        <v>1030.5</v>
      </c>
      <c r="M187" s="1">
        <f t="shared" si="12"/>
        <v>1461</v>
      </c>
      <c r="N187" t="str">
        <f t="shared" si="9"/>
        <v>HAUTS-DE-FRANCE|02 - Aisne|CA de la Région de Château-Thierry</v>
      </c>
      <c r="O187" t="str">
        <f t="shared" si="10"/>
        <v>HDF</v>
      </c>
    </row>
    <row r="188" spans="1:15" x14ac:dyDescent="0.25">
      <c r="A188" t="s">
        <v>455</v>
      </c>
      <c r="B188" t="str">
        <f t="shared" si="11"/>
        <v>Aisne</v>
      </c>
      <c r="C188" t="s">
        <v>457</v>
      </c>
      <c r="D188" t="s">
        <v>462</v>
      </c>
      <c r="E188">
        <v>200043495</v>
      </c>
      <c r="F188">
        <v>2024</v>
      </c>
      <c r="G188" t="s">
        <v>21</v>
      </c>
      <c r="H188" s="1">
        <v>7865</v>
      </c>
      <c r="I188" s="4">
        <v>11658</v>
      </c>
      <c r="J188" s="4">
        <v>16528</v>
      </c>
      <c r="K188" s="1">
        <f t="shared" si="12"/>
        <v>655.41666666666663</v>
      </c>
      <c r="L188" s="1">
        <f t="shared" si="12"/>
        <v>971.5</v>
      </c>
      <c r="M188" s="1">
        <f t="shared" si="12"/>
        <v>1377.3333333333333</v>
      </c>
      <c r="N188" t="str">
        <f t="shared" si="9"/>
        <v>HAUTS-DE-FRANCE|02 - Aisne|CA du Pays de Laon</v>
      </c>
      <c r="O188" t="str">
        <f t="shared" si="10"/>
        <v>HDF</v>
      </c>
    </row>
    <row r="189" spans="1:15" x14ac:dyDescent="0.25">
      <c r="A189" t="s">
        <v>455</v>
      </c>
      <c r="B189" t="str">
        <f t="shared" si="11"/>
        <v>Aisne</v>
      </c>
      <c r="C189" t="s">
        <v>457</v>
      </c>
      <c r="D189" t="s">
        <v>464</v>
      </c>
      <c r="E189">
        <v>200071892</v>
      </c>
      <c r="F189">
        <v>2024</v>
      </c>
      <c r="G189" t="s">
        <v>21</v>
      </c>
      <c r="H189" s="1">
        <v>7600</v>
      </c>
      <c r="I189" s="4">
        <v>11556</v>
      </c>
      <c r="J189" s="4">
        <v>16232</v>
      </c>
      <c r="K189" s="1">
        <f t="shared" si="12"/>
        <v>633.33333333333337</v>
      </c>
      <c r="L189" s="1">
        <f t="shared" si="12"/>
        <v>963</v>
      </c>
      <c r="M189" s="1">
        <f t="shared" si="12"/>
        <v>1352.6666666666667</v>
      </c>
      <c r="N189" t="str">
        <f t="shared" si="9"/>
        <v>HAUTS-DE-FRANCE|02 - Aisne|CA du Saint-Quentinois</v>
      </c>
      <c r="O189" t="str">
        <f t="shared" si="10"/>
        <v>HDF</v>
      </c>
    </row>
    <row r="190" spans="1:15" x14ac:dyDescent="0.25">
      <c r="A190" t="s">
        <v>455</v>
      </c>
      <c r="B190" t="str">
        <f t="shared" si="11"/>
        <v>Aisne</v>
      </c>
      <c r="C190" t="s">
        <v>457</v>
      </c>
      <c r="D190" t="s">
        <v>466</v>
      </c>
      <c r="E190">
        <v>240200600</v>
      </c>
      <c r="F190">
        <v>2024</v>
      </c>
      <c r="G190" t="s">
        <v>21</v>
      </c>
      <c r="H190" s="1">
        <v>7027</v>
      </c>
      <c r="I190" s="4">
        <v>10714</v>
      </c>
      <c r="J190" s="4">
        <v>14088</v>
      </c>
      <c r="K190" s="1">
        <f t="shared" si="12"/>
        <v>585.58333333333337</v>
      </c>
      <c r="L190" s="1">
        <f t="shared" si="12"/>
        <v>892.83333333333337</v>
      </c>
      <c r="M190" s="1">
        <f t="shared" si="12"/>
        <v>1174</v>
      </c>
      <c r="N190" t="str">
        <f t="shared" si="9"/>
        <v>HAUTS-DE-FRANCE|02 - Aisne|CC des Trois Rivières</v>
      </c>
      <c r="O190" t="str">
        <f t="shared" si="10"/>
        <v>HDF</v>
      </c>
    </row>
    <row r="191" spans="1:15" x14ac:dyDescent="0.25">
      <c r="A191" t="s">
        <v>455</v>
      </c>
      <c r="B191" t="str">
        <f t="shared" si="11"/>
        <v>Aisne</v>
      </c>
      <c r="C191" t="s">
        <v>457</v>
      </c>
      <c r="D191" t="s">
        <v>468</v>
      </c>
      <c r="E191">
        <v>200071991</v>
      </c>
      <c r="F191">
        <v>2024</v>
      </c>
      <c r="G191" t="s">
        <v>21</v>
      </c>
      <c r="H191" s="1">
        <v>10004</v>
      </c>
      <c r="I191" s="4">
        <v>14160</v>
      </c>
      <c r="J191" s="4">
        <v>18000</v>
      </c>
      <c r="K191" s="1">
        <f t="shared" si="12"/>
        <v>833.66666666666663</v>
      </c>
      <c r="L191" s="1">
        <f t="shared" si="12"/>
        <v>1180</v>
      </c>
      <c r="M191" s="1">
        <f t="shared" si="12"/>
        <v>1500</v>
      </c>
      <c r="N191" t="str">
        <f t="shared" si="9"/>
        <v>HAUTS-DE-FRANCE|02 - Aisne|CC Retz en Valois</v>
      </c>
      <c r="O191" t="str">
        <f t="shared" si="10"/>
        <v>HDF</v>
      </c>
    </row>
    <row r="192" spans="1:15" x14ac:dyDescent="0.25">
      <c r="A192" t="s">
        <v>455</v>
      </c>
      <c r="B192" t="str">
        <f t="shared" si="11"/>
        <v>Aisne</v>
      </c>
      <c r="C192" t="s">
        <v>457</v>
      </c>
      <c r="D192" t="s">
        <v>470</v>
      </c>
      <c r="E192">
        <v>240200477</v>
      </c>
      <c r="F192">
        <v>2024</v>
      </c>
      <c r="G192" t="s">
        <v>21</v>
      </c>
      <c r="H192" s="1">
        <v>8436</v>
      </c>
      <c r="I192" s="4">
        <v>12168</v>
      </c>
      <c r="J192" s="4">
        <v>17304</v>
      </c>
      <c r="K192" s="1">
        <f t="shared" si="12"/>
        <v>703</v>
      </c>
      <c r="L192" s="1">
        <f t="shared" si="12"/>
        <v>1014</v>
      </c>
      <c r="M192" s="1">
        <f t="shared" si="12"/>
        <v>1442</v>
      </c>
      <c r="N192" t="str">
        <f t="shared" si="9"/>
        <v>HAUTS-DE-FRANCE|02 - Aisne|GrandSoissons Agglomération</v>
      </c>
      <c r="O192" t="str">
        <f t="shared" si="10"/>
        <v>HDF</v>
      </c>
    </row>
    <row r="193" spans="1:15" x14ac:dyDescent="0.25">
      <c r="A193" t="s">
        <v>455</v>
      </c>
      <c r="B193" t="str">
        <f t="shared" si="11"/>
        <v>Nord</v>
      </c>
      <c r="C193" t="s">
        <v>473</v>
      </c>
      <c r="D193" t="s">
        <v>474</v>
      </c>
      <c r="E193">
        <v>200040947</v>
      </c>
      <c r="F193">
        <v>2024</v>
      </c>
      <c r="G193" t="s">
        <v>21</v>
      </c>
      <c r="H193" s="1">
        <v>10230</v>
      </c>
      <c r="I193" s="4">
        <v>13600</v>
      </c>
      <c r="J193" s="4">
        <v>18000</v>
      </c>
      <c r="K193" s="1">
        <f t="shared" si="12"/>
        <v>852.5</v>
      </c>
      <c r="L193" s="1">
        <f t="shared" si="12"/>
        <v>1133.3333333333333</v>
      </c>
      <c r="M193" s="1">
        <f t="shared" si="12"/>
        <v>1500</v>
      </c>
      <c r="N193" t="str">
        <f t="shared" si="9"/>
        <v>HAUTS-DE-FRANCE|59 - Nord|CA Coeur de Flandre</v>
      </c>
      <c r="O193" t="str">
        <f t="shared" si="10"/>
        <v>HDF</v>
      </c>
    </row>
    <row r="194" spans="1:15" x14ac:dyDescent="0.25">
      <c r="A194" t="s">
        <v>455</v>
      </c>
      <c r="B194" t="str">
        <f t="shared" si="11"/>
        <v>Nord</v>
      </c>
      <c r="C194" t="s">
        <v>473</v>
      </c>
      <c r="D194" t="s">
        <v>476</v>
      </c>
      <c r="E194">
        <v>245901152</v>
      </c>
      <c r="F194">
        <v>2024</v>
      </c>
      <c r="G194" t="s">
        <v>21</v>
      </c>
      <c r="H194" s="1">
        <v>8353</v>
      </c>
      <c r="I194" s="4">
        <v>12000</v>
      </c>
      <c r="J194" s="4">
        <v>17208</v>
      </c>
      <c r="K194" s="1">
        <f t="shared" si="12"/>
        <v>696.08333333333337</v>
      </c>
      <c r="L194" s="1">
        <f t="shared" si="12"/>
        <v>1000</v>
      </c>
      <c r="M194" s="1">
        <f t="shared" si="12"/>
        <v>1434</v>
      </c>
      <c r="N194" t="str">
        <f t="shared" ref="N194:N257" si="13">SUBSTITUTE(
   UPPER(SUBSTITUTE(TRIM(A194), CHAR(160), " ")) &amp; "|" &amp;
   SUBSTITUTE(TRIM(C194), CHAR(160), " ") &amp; "|" &amp;
   SUBSTITUTE(TRIM(D194), CHAR(160), " "),
   "–", "-"
)</f>
        <v>HAUTS-DE-FRANCE|59 - Nord|CA Coeur d'Ostrevent</v>
      </c>
      <c r="O194" t="str">
        <f t="shared" ref="O194:O257" si="14">IF(A194="Hauts-de-France", "HDF",
IF(A194="Île-de-France", "IDF",
IF(OR(A194="Guadeloupe", A194="Martinique", A194="Guyane", A194="La Réunion", A194="Mayotte"), "OM", "Province")))</f>
        <v>HDF</v>
      </c>
    </row>
    <row r="195" spans="1:15" x14ac:dyDescent="0.25">
      <c r="A195" t="s">
        <v>455</v>
      </c>
      <c r="B195" t="str">
        <f t="shared" ref="B195:B258" si="15">MID(C195,6,LEN(C195))</f>
        <v>Nord</v>
      </c>
      <c r="C195" t="s">
        <v>473</v>
      </c>
      <c r="D195" t="s">
        <v>478</v>
      </c>
      <c r="E195">
        <v>200068500</v>
      </c>
      <c r="F195">
        <v>2024</v>
      </c>
      <c r="G195" t="s">
        <v>21</v>
      </c>
      <c r="H195" s="1">
        <v>8608</v>
      </c>
      <c r="I195" s="4">
        <v>12188</v>
      </c>
      <c r="J195" s="4">
        <v>16806</v>
      </c>
      <c r="K195" s="1">
        <f t="shared" ref="K195:M258" si="16">H195/12</f>
        <v>717.33333333333337</v>
      </c>
      <c r="L195" s="1">
        <f t="shared" si="16"/>
        <v>1015.6666666666666</v>
      </c>
      <c r="M195" s="1">
        <f t="shared" si="16"/>
        <v>1400.5</v>
      </c>
      <c r="N195" t="str">
        <f t="shared" si="13"/>
        <v>HAUTS-DE-FRANCE|59 - Nord|CA de Cambrai</v>
      </c>
      <c r="O195" t="str">
        <f t="shared" si="14"/>
        <v>HDF</v>
      </c>
    </row>
    <row r="196" spans="1:15" x14ac:dyDescent="0.25">
      <c r="A196" t="s">
        <v>455</v>
      </c>
      <c r="B196" t="str">
        <f t="shared" si="15"/>
        <v>Nord</v>
      </c>
      <c r="C196" t="s">
        <v>473</v>
      </c>
      <c r="D196" t="s">
        <v>480</v>
      </c>
      <c r="E196">
        <v>200042190</v>
      </c>
      <c r="F196">
        <v>2024</v>
      </c>
      <c r="G196" t="s">
        <v>21</v>
      </c>
      <c r="H196" s="1">
        <v>8676</v>
      </c>
      <c r="I196" s="4">
        <v>12560</v>
      </c>
      <c r="J196" s="4">
        <v>17496</v>
      </c>
      <c r="K196" s="1">
        <f t="shared" si="16"/>
        <v>723</v>
      </c>
      <c r="L196" s="1">
        <f t="shared" si="16"/>
        <v>1046.6666666666667</v>
      </c>
      <c r="M196" s="1">
        <f t="shared" si="16"/>
        <v>1458</v>
      </c>
      <c r="N196" t="str">
        <f t="shared" si="13"/>
        <v>HAUTS-DE-FRANCE|59 - Nord|CA de la Porte du Hainaut</v>
      </c>
      <c r="O196" t="str">
        <f t="shared" si="14"/>
        <v>HDF</v>
      </c>
    </row>
    <row r="197" spans="1:15" x14ac:dyDescent="0.25">
      <c r="A197" t="s">
        <v>455</v>
      </c>
      <c r="B197" t="str">
        <f t="shared" si="15"/>
        <v>Nord</v>
      </c>
      <c r="C197" t="s">
        <v>473</v>
      </c>
      <c r="D197" t="s">
        <v>482</v>
      </c>
      <c r="E197">
        <v>200044618</v>
      </c>
      <c r="F197">
        <v>2024</v>
      </c>
      <c r="G197" t="s">
        <v>21</v>
      </c>
      <c r="H197" s="1">
        <v>8580</v>
      </c>
      <c r="I197" s="4">
        <v>12626</v>
      </c>
      <c r="J197" s="4">
        <v>17530</v>
      </c>
      <c r="K197" s="1">
        <f t="shared" si="16"/>
        <v>715</v>
      </c>
      <c r="L197" s="1">
        <f t="shared" si="16"/>
        <v>1052.1666666666667</v>
      </c>
      <c r="M197" s="1">
        <f t="shared" si="16"/>
        <v>1460.8333333333333</v>
      </c>
      <c r="N197" t="str">
        <f t="shared" si="13"/>
        <v>HAUTS-DE-FRANCE|59 - Nord|CA Douaisis Agglo</v>
      </c>
      <c r="O197" t="str">
        <f t="shared" si="14"/>
        <v>HDF</v>
      </c>
    </row>
    <row r="198" spans="1:15" x14ac:dyDescent="0.25">
      <c r="A198" t="s">
        <v>455</v>
      </c>
      <c r="B198" t="str">
        <f t="shared" si="15"/>
        <v>Nord</v>
      </c>
      <c r="C198" t="s">
        <v>473</v>
      </c>
      <c r="D198" t="s">
        <v>484</v>
      </c>
      <c r="E198">
        <v>200030633</v>
      </c>
      <c r="F198">
        <v>2024</v>
      </c>
      <c r="G198" t="s">
        <v>21</v>
      </c>
      <c r="H198" s="1">
        <v>7620</v>
      </c>
      <c r="I198" s="4">
        <v>11496</v>
      </c>
      <c r="J198" s="4">
        <v>15600</v>
      </c>
      <c r="K198" s="1">
        <f t="shared" si="16"/>
        <v>635</v>
      </c>
      <c r="L198" s="1">
        <f t="shared" si="16"/>
        <v>958</v>
      </c>
      <c r="M198" s="1">
        <f t="shared" si="16"/>
        <v>1300</v>
      </c>
      <c r="N198" t="str">
        <f t="shared" si="13"/>
        <v>HAUTS-DE-FRANCE|59 - Nord|CA du Caudrésis et du Catésis</v>
      </c>
      <c r="O198" t="str">
        <f t="shared" si="14"/>
        <v>HDF</v>
      </c>
    </row>
    <row r="199" spans="1:15" x14ac:dyDescent="0.25">
      <c r="A199" t="s">
        <v>455</v>
      </c>
      <c r="B199" t="str">
        <f t="shared" si="15"/>
        <v>Nord</v>
      </c>
      <c r="C199" t="s">
        <v>473</v>
      </c>
      <c r="D199" t="s">
        <v>486</v>
      </c>
      <c r="E199">
        <v>200043396</v>
      </c>
      <c r="F199">
        <v>2024</v>
      </c>
      <c r="G199" t="s">
        <v>21</v>
      </c>
      <c r="H199" s="1">
        <v>8264</v>
      </c>
      <c r="I199" s="4">
        <v>12020</v>
      </c>
      <c r="J199" s="4">
        <v>17134</v>
      </c>
      <c r="K199" s="1">
        <f t="shared" si="16"/>
        <v>688.66666666666663</v>
      </c>
      <c r="L199" s="1">
        <f t="shared" si="16"/>
        <v>1001.6666666666666</v>
      </c>
      <c r="M199" s="1">
        <f t="shared" si="16"/>
        <v>1427.8333333333333</v>
      </c>
      <c r="N199" t="str">
        <f t="shared" si="13"/>
        <v>HAUTS-DE-FRANCE|59 - Nord|CA Maubeuge Val de Sambre</v>
      </c>
      <c r="O199" t="str">
        <f t="shared" si="14"/>
        <v>HDF</v>
      </c>
    </row>
    <row r="200" spans="1:15" x14ac:dyDescent="0.25">
      <c r="A200" t="s">
        <v>455</v>
      </c>
      <c r="B200" t="str">
        <f t="shared" si="15"/>
        <v>Nord</v>
      </c>
      <c r="C200" t="s">
        <v>473</v>
      </c>
      <c r="D200" t="s">
        <v>488</v>
      </c>
      <c r="E200">
        <v>245901160</v>
      </c>
      <c r="F200">
        <v>2024</v>
      </c>
      <c r="G200" t="s">
        <v>21</v>
      </c>
      <c r="H200" s="1">
        <v>8611</v>
      </c>
      <c r="I200" s="4">
        <v>12444</v>
      </c>
      <c r="J200" s="4">
        <v>17481</v>
      </c>
      <c r="K200" s="1">
        <f t="shared" si="16"/>
        <v>717.58333333333337</v>
      </c>
      <c r="L200" s="1">
        <f t="shared" si="16"/>
        <v>1037</v>
      </c>
      <c r="M200" s="1">
        <f t="shared" si="16"/>
        <v>1456.75</v>
      </c>
      <c r="N200" t="str">
        <f t="shared" si="13"/>
        <v>HAUTS-DE-FRANCE|59 - Nord|CA Valenciennes Métropole</v>
      </c>
      <c r="O200" t="str">
        <f t="shared" si="14"/>
        <v>HDF</v>
      </c>
    </row>
    <row r="201" spans="1:15" x14ac:dyDescent="0.25">
      <c r="A201" t="s">
        <v>455</v>
      </c>
      <c r="B201" t="str">
        <f t="shared" si="15"/>
        <v>Nord</v>
      </c>
      <c r="C201" t="s">
        <v>473</v>
      </c>
      <c r="D201" t="s">
        <v>490</v>
      </c>
      <c r="E201">
        <v>200043321</v>
      </c>
      <c r="F201">
        <v>2024</v>
      </c>
      <c r="G201" t="s">
        <v>21</v>
      </c>
      <c r="H201" s="1">
        <v>10246</v>
      </c>
      <c r="I201" s="4">
        <v>13674</v>
      </c>
      <c r="J201" s="4">
        <v>18003</v>
      </c>
      <c r="K201" s="1">
        <f t="shared" si="16"/>
        <v>853.83333333333337</v>
      </c>
      <c r="L201" s="1">
        <f t="shared" si="16"/>
        <v>1139.5</v>
      </c>
      <c r="M201" s="1">
        <f t="shared" si="16"/>
        <v>1500.25</v>
      </c>
      <c r="N201" t="str">
        <f t="shared" si="13"/>
        <v>HAUTS-DE-FRANCE|59 - Nord|CC du Pays de Mormal</v>
      </c>
      <c r="O201" t="str">
        <f t="shared" si="14"/>
        <v>HDF</v>
      </c>
    </row>
    <row r="202" spans="1:15" x14ac:dyDescent="0.25">
      <c r="A202" t="s">
        <v>455</v>
      </c>
      <c r="B202" t="str">
        <f t="shared" si="15"/>
        <v>Nord</v>
      </c>
      <c r="C202" t="s">
        <v>473</v>
      </c>
      <c r="D202" t="s">
        <v>492</v>
      </c>
      <c r="E202">
        <v>200043404</v>
      </c>
      <c r="F202">
        <v>2024</v>
      </c>
      <c r="G202" t="s">
        <v>21</v>
      </c>
      <c r="H202" s="1">
        <v>7648</v>
      </c>
      <c r="I202" s="4">
        <v>11580</v>
      </c>
      <c r="J202" s="4">
        <v>15996</v>
      </c>
      <c r="K202" s="1">
        <f t="shared" si="16"/>
        <v>637.33333333333337</v>
      </c>
      <c r="L202" s="1">
        <f t="shared" si="16"/>
        <v>965</v>
      </c>
      <c r="M202" s="1">
        <f t="shared" si="16"/>
        <v>1333</v>
      </c>
      <c r="N202" t="str">
        <f t="shared" si="13"/>
        <v>HAUTS-DE-FRANCE|59 - Nord|CC du Sud Avesnois</v>
      </c>
      <c r="O202" t="str">
        <f t="shared" si="14"/>
        <v>HDF</v>
      </c>
    </row>
    <row r="203" spans="1:15" x14ac:dyDescent="0.25">
      <c r="A203" t="s">
        <v>455</v>
      </c>
      <c r="B203" t="str">
        <f t="shared" si="15"/>
        <v>Nord</v>
      </c>
      <c r="C203" t="s">
        <v>473</v>
      </c>
      <c r="D203" t="s">
        <v>494</v>
      </c>
      <c r="E203">
        <v>200041960</v>
      </c>
      <c r="F203">
        <v>2024</v>
      </c>
      <c r="G203" t="s">
        <v>21</v>
      </c>
      <c r="H203" s="1">
        <v>10828</v>
      </c>
      <c r="I203" s="4">
        <v>15297</v>
      </c>
      <c r="J203" s="4">
        <v>19572</v>
      </c>
      <c r="K203" s="1">
        <f t="shared" si="16"/>
        <v>902.33333333333337</v>
      </c>
      <c r="L203" s="1">
        <f t="shared" si="16"/>
        <v>1274.75</v>
      </c>
      <c r="M203" s="1">
        <f t="shared" si="16"/>
        <v>1631</v>
      </c>
      <c r="N203" t="str">
        <f t="shared" si="13"/>
        <v>HAUTS-DE-FRANCE|59 - Nord|CC Pévèle-Carembault</v>
      </c>
      <c r="O203" t="str">
        <f t="shared" si="14"/>
        <v>HDF</v>
      </c>
    </row>
    <row r="204" spans="1:15" x14ac:dyDescent="0.25">
      <c r="A204" t="s">
        <v>455</v>
      </c>
      <c r="B204" t="str">
        <f t="shared" si="15"/>
        <v>Nord</v>
      </c>
      <c r="C204" t="s">
        <v>473</v>
      </c>
      <c r="D204" t="s">
        <v>496</v>
      </c>
      <c r="E204">
        <v>245900428</v>
      </c>
      <c r="F204">
        <v>2024</v>
      </c>
      <c r="G204" t="s">
        <v>21</v>
      </c>
      <c r="H204" s="1">
        <v>9392</v>
      </c>
      <c r="I204" s="4">
        <v>13440</v>
      </c>
      <c r="J204" s="4">
        <v>18348</v>
      </c>
      <c r="K204" s="1">
        <f t="shared" si="16"/>
        <v>782.66666666666663</v>
      </c>
      <c r="L204" s="1">
        <f t="shared" si="16"/>
        <v>1120</v>
      </c>
      <c r="M204" s="1">
        <f t="shared" si="16"/>
        <v>1529</v>
      </c>
      <c r="N204" t="str">
        <f t="shared" si="13"/>
        <v>HAUTS-DE-FRANCE|59 - Nord|CU de Dunkerque</v>
      </c>
      <c r="O204" t="str">
        <f t="shared" si="14"/>
        <v>HDF</v>
      </c>
    </row>
    <row r="205" spans="1:15" x14ac:dyDescent="0.25">
      <c r="A205" t="s">
        <v>455</v>
      </c>
      <c r="B205" t="str">
        <f t="shared" si="15"/>
        <v>Nord</v>
      </c>
      <c r="C205" t="s">
        <v>473</v>
      </c>
      <c r="D205" t="s">
        <v>498</v>
      </c>
      <c r="E205">
        <v>200093201</v>
      </c>
      <c r="F205">
        <v>2024</v>
      </c>
      <c r="G205" t="s">
        <v>21</v>
      </c>
      <c r="H205" s="1">
        <v>9324</v>
      </c>
      <c r="I205" s="4">
        <v>13634</v>
      </c>
      <c r="J205" s="4">
        <v>18680</v>
      </c>
      <c r="K205" s="1">
        <f t="shared" si="16"/>
        <v>777</v>
      </c>
      <c r="L205" s="1">
        <f t="shared" si="16"/>
        <v>1136.1666666666667</v>
      </c>
      <c r="M205" s="1">
        <f t="shared" si="16"/>
        <v>1556.6666666666667</v>
      </c>
      <c r="N205" t="str">
        <f t="shared" si="13"/>
        <v>HAUTS-DE-FRANCE|59 - Nord|Métropole Européenne de Lille</v>
      </c>
      <c r="O205" t="str">
        <f t="shared" si="14"/>
        <v>HDF</v>
      </c>
    </row>
    <row r="206" spans="1:15" x14ac:dyDescent="0.25">
      <c r="A206" t="s">
        <v>455</v>
      </c>
      <c r="B206" t="str">
        <f t="shared" si="15"/>
        <v>Oise</v>
      </c>
      <c r="C206" t="s">
        <v>501</v>
      </c>
      <c r="D206" t="s">
        <v>502</v>
      </c>
      <c r="E206">
        <v>200068047</v>
      </c>
      <c r="F206">
        <v>2024</v>
      </c>
      <c r="G206" t="s">
        <v>21</v>
      </c>
      <c r="H206" s="1">
        <v>9366</v>
      </c>
      <c r="I206" s="4">
        <v>13530</v>
      </c>
      <c r="J206" s="4">
        <v>18642</v>
      </c>
      <c r="K206" s="1">
        <f t="shared" si="16"/>
        <v>780.5</v>
      </c>
      <c r="L206" s="1">
        <f t="shared" si="16"/>
        <v>1127.5</v>
      </c>
      <c r="M206" s="1">
        <f t="shared" si="16"/>
        <v>1553.5</v>
      </c>
      <c r="N206" t="str">
        <f t="shared" si="13"/>
        <v>HAUTS-DE-FRANCE|60 - Oise|CA Creil Sud Oise</v>
      </c>
      <c r="O206" t="str">
        <f t="shared" si="14"/>
        <v>HDF</v>
      </c>
    </row>
    <row r="207" spans="1:15" x14ac:dyDescent="0.25">
      <c r="A207" t="s">
        <v>455</v>
      </c>
      <c r="B207" t="str">
        <f t="shared" si="15"/>
        <v>Oise</v>
      </c>
      <c r="C207" t="s">
        <v>501</v>
      </c>
      <c r="D207" t="s">
        <v>504</v>
      </c>
      <c r="E207">
        <v>200067965</v>
      </c>
      <c r="F207">
        <v>2024</v>
      </c>
      <c r="G207" t="s">
        <v>21</v>
      </c>
      <c r="H207" s="1">
        <v>9982</v>
      </c>
      <c r="I207" s="4">
        <v>14472</v>
      </c>
      <c r="J207" s="4">
        <v>19391</v>
      </c>
      <c r="K207" s="1">
        <f t="shared" si="16"/>
        <v>831.83333333333337</v>
      </c>
      <c r="L207" s="1">
        <f t="shared" si="16"/>
        <v>1206</v>
      </c>
      <c r="M207" s="1">
        <f t="shared" si="16"/>
        <v>1615.9166666666667</v>
      </c>
      <c r="N207" t="str">
        <f t="shared" si="13"/>
        <v>HAUTS-DE-FRANCE|60 - Oise|CA de la Région de Compiègne et de la Basse Automne</v>
      </c>
      <c r="O207" t="str">
        <f t="shared" si="14"/>
        <v>HDF</v>
      </c>
    </row>
    <row r="208" spans="1:15" x14ac:dyDescent="0.25">
      <c r="A208" t="s">
        <v>455</v>
      </c>
      <c r="B208" t="str">
        <f t="shared" si="15"/>
        <v>Oise</v>
      </c>
      <c r="C208" t="s">
        <v>501</v>
      </c>
      <c r="D208" t="s">
        <v>506</v>
      </c>
      <c r="E208">
        <v>200067999</v>
      </c>
      <c r="F208">
        <v>2024</v>
      </c>
      <c r="G208" t="s">
        <v>21</v>
      </c>
      <c r="H208" s="1">
        <v>9060</v>
      </c>
      <c r="I208" s="4">
        <v>13200</v>
      </c>
      <c r="J208" s="4">
        <v>18009</v>
      </c>
      <c r="K208" s="1">
        <f t="shared" si="16"/>
        <v>755</v>
      </c>
      <c r="L208" s="1">
        <f t="shared" si="16"/>
        <v>1100</v>
      </c>
      <c r="M208" s="1">
        <f t="shared" si="16"/>
        <v>1500.75</v>
      </c>
      <c r="N208" t="str">
        <f t="shared" si="13"/>
        <v>HAUTS-DE-FRANCE|60 - Oise|CA du Beauvaisis</v>
      </c>
      <c r="O208" t="str">
        <f t="shared" si="14"/>
        <v>HDF</v>
      </c>
    </row>
    <row r="209" spans="1:15" x14ac:dyDescent="0.25">
      <c r="A209" t="s">
        <v>455</v>
      </c>
      <c r="B209" t="str">
        <f t="shared" si="15"/>
        <v>Oise</v>
      </c>
      <c r="C209" t="s">
        <v>501</v>
      </c>
      <c r="D209" t="s">
        <v>508</v>
      </c>
      <c r="E209">
        <v>246000764</v>
      </c>
      <c r="F209">
        <v>2024</v>
      </c>
      <c r="G209" t="s">
        <v>21</v>
      </c>
      <c r="H209" s="1">
        <v>11940</v>
      </c>
      <c r="I209" s="4">
        <v>17184</v>
      </c>
      <c r="J209" s="4">
        <v>22008</v>
      </c>
      <c r="K209" s="1">
        <f t="shared" si="16"/>
        <v>995</v>
      </c>
      <c r="L209" s="1">
        <f t="shared" si="16"/>
        <v>1432</v>
      </c>
      <c r="M209" s="1">
        <f t="shared" si="16"/>
        <v>1834</v>
      </c>
      <c r="N209" t="str">
        <f t="shared" si="13"/>
        <v>HAUTS-DE-FRANCE|60 - Oise|CC de l'Aire Cantilienne</v>
      </c>
      <c r="O209" t="str">
        <f t="shared" si="14"/>
        <v>HDF</v>
      </c>
    </row>
    <row r="210" spans="1:15" x14ac:dyDescent="0.25">
      <c r="A210" t="s">
        <v>455</v>
      </c>
      <c r="B210" t="str">
        <f t="shared" si="15"/>
        <v>Oise</v>
      </c>
      <c r="C210" t="s">
        <v>501</v>
      </c>
      <c r="D210" t="s">
        <v>510</v>
      </c>
      <c r="E210">
        <v>246000921</v>
      </c>
      <c r="F210">
        <v>2024</v>
      </c>
      <c r="G210" t="s">
        <v>21</v>
      </c>
      <c r="H210" s="1">
        <v>11661</v>
      </c>
      <c r="I210" s="4">
        <v>16552</v>
      </c>
      <c r="J210" s="4">
        <v>21311</v>
      </c>
      <c r="K210" s="1">
        <f t="shared" si="16"/>
        <v>971.75</v>
      </c>
      <c r="L210" s="1">
        <f t="shared" si="16"/>
        <v>1379.3333333333333</v>
      </c>
      <c r="M210" s="1">
        <f t="shared" si="16"/>
        <v>1775.9166666666667</v>
      </c>
      <c r="N210" t="str">
        <f t="shared" si="13"/>
        <v>HAUTS-DE-FRANCE|60 - Oise|CC des Pays d'Oise et d'Halatte</v>
      </c>
      <c r="O210" t="str">
        <f t="shared" si="14"/>
        <v>HDF</v>
      </c>
    </row>
    <row r="211" spans="1:15" x14ac:dyDescent="0.25">
      <c r="A211" t="s">
        <v>455</v>
      </c>
      <c r="B211" t="str">
        <f t="shared" si="15"/>
        <v>Oise</v>
      </c>
      <c r="C211" t="s">
        <v>501</v>
      </c>
      <c r="D211" t="s">
        <v>512</v>
      </c>
      <c r="E211">
        <v>246000582</v>
      </c>
      <c r="F211">
        <v>2024</v>
      </c>
      <c r="G211" t="s">
        <v>21</v>
      </c>
      <c r="H211" s="1">
        <v>10574</v>
      </c>
      <c r="I211" s="4">
        <v>14595</v>
      </c>
      <c r="J211" s="4">
        <v>19752</v>
      </c>
      <c r="K211" s="1">
        <f t="shared" si="16"/>
        <v>881.16666666666663</v>
      </c>
      <c r="L211" s="1">
        <f t="shared" si="16"/>
        <v>1216.25</v>
      </c>
      <c r="M211" s="1">
        <f t="shared" si="16"/>
        <v>1646</v>
      </c>
      <c r="N211" t="str">
        <f t="shared" si="13"/>
        <v>HAUTS-DE-FRANCE|60 - Oise|CC des Sablons</v>
      </c>
      <c r="O211" t="str">
        <f t="shared" si="14"/>
        <v>HDF</v>
      </c>
    </row>
    <row r="212" spans="1:15" x14ac:dyDescent="0.25">
      <c r="A212" t="s">
        <v>455</v>
      </c>
      <c r="B212" t="str">
        <f t="shared" si="15"/>
        <v>Oise</v>
      </c>
      <c r="C212" t="s">
        <v>501</v>
      </c>
      <c r="D212" t="s">
        <v>514</v>
      </c>
      <c r="E212">
        <v>246000376</v>
      </c>
      <c r="F212">
        <v>2024</v>
      </c>
      <c r="G212" t="s">
        <v>21</v>
      </c>
      <c r="H212" s="1">
        <v>11109</v>
      </c>
      <c r="I212" s="4">
        <v>14972</v>
      </c>
      <c r="J212" s="4">
        <v>19757</v>
      </c>
      <c r="K212" s="1">
        <f t="shared" si="16"/>
        <v>925.75</v>
      </c>
      <c r="L212" s="1">
        <f t="shared" si="16"/>
        <v>1247.6666666666667</v>
      </c>
      <c r="M212" s="1">
        <f t="shared" si="16"/>
        <v>1646.4166666666667</v>
      </c>
      <c r="N212" t="str">
        <f t="shared" si="13"/>
        <v>HAUTS-DE-FRANCE|60 - Oise|CC du Clermontois</v>
      </c>
      <c r="O212" t="str">
        <f t="shared" si="14"/>
        <v>HDF</v>
      </c>
    </row>
    <row r="213" spans="1:15" x14ac:dyDescent="0.25">
      <c r="A213" t="s">
        <v>455</v>
      </c>
      <c r="B213" t="str">
        <f t="shared" si="15"/>
        <v>Oise</v>
      </c>
      <c r="C213" t="s">
        <v>501</v>
      </c>
      <c r="D213" t="s">
        <v>516</v>
      </c>
      <c r="E213">
        <v>246000871</v>
      </c>
      <c r="F213">
        <v>2024</v>
      </c>
      <c r="G213" t="s">
        <v>21</v>
      </c>
      <c r="H213" s="1">
        <v>11472</v>
      </c>
      <c r="I213" s="4">
        <v>16080</v>
      </c>
      <c r="J213" s="4">
        <v>20400</v>
      </c>
      <c r="K213" s="1">
        <f t="shared" si="16"/>
        <v>956</v>
      </c>
      <c r="L213" s="1">
        <f t="shared" si="16"/>
        <v>1340</v>
      </c>
      <c r="M213" s="1">
        <f t="shared" si="16"/>
        <v>1700</v>
      </c>
      <c r="N213" t="str">
        <f t="shared" si="13"/>
        <v>HAUTS-DE-FRANCE|60 - Oise|CC du Pays de Valois</v>
      </c>
      <c r="O213" t="str">
        <f t="shared" si="14"/>
        <v>HDF</v>
      </c>
    </row>
    <row r="214" spans="1:15" x14ac:dyDescent="0.25">
      <c r="A214" t="s">
        <v>455</v>
      </c>
      <c r="B214" t="str">
        <f t="shared" si="15"/>
        <v>Oise</v>
      </c>
      <c r="C214" t="s">
        <v>501</v>
      </c>
      <c r="D214" t="s">
        <v>518</v>
      </c>
      <c r="E214">
        <v>246000756</v>
      </c>
      <c r="F214">
        <v>2024</v>
      </c>
      <c r="G214" t="s">
        <v>21</v>
      </c>
      <c r="H214" s="1">
        <v>7715</v>
      </c>
      <c r="I214" s="4">
        <v>11850</v>
      </c>
      <c r="J214" s="4">
        <v>16182</v>
      </c>
      <c r="K214" s="1">
        <f t="shared" si="16"/>
        <v>642.91666666666663</v>
      </c>
      <c r="L214" s="1">
        <f t="shared" si="16"/>
        <v>987.5</v>
      </c>
      <c r="M214" s="1">
        <f t="shared" si="16"/>
        <v>1348.5</v>
      </c>
      <c r="N214" t="str">
        <f t="shared" si="13"/>
        <v>HAUTS-DE-FRANCE|60 - Oise|CC du Pays Noyonnais</v>
      </c>
      <c r="O214" t="str">
        <f t="shared" si="14"/>
        <v>HDF</v>
      </c>
    </row>
    <row r="215" spans="1:15" x14ac:dyDescent="0.25">
      <c r="A215" t="s">
        <v>455</v>
      </c>
      <c r="B215" t="str">
        <f t="shared" si="15"/>
        <v>Oise</v>
      </c>
      <c r="C215" t="s">
        <v>501</v>
      </c>
      <c r="D215" t="s">
        <v>520</v>
      </c>
      <c r="E215">
        <v>200067973</v>
      </c>
      <c r="F215">
        <v>2024</v>
      </c>
      <c r="G215" t="s">
        <v>21</v>
      </c>
      <c r="H215" s="1">
        <v>12000</v>
      </c>
      <c r="I215" s="4">
        <v>16579</v>
      </c>
      <c r="J215" s="4">
        <v>21054</v>
      </c>
      <c r="K215" s="1">
        <f t="shared" si="16"/>
        <v>1000</v>
      </c>
      <c r="L215" s="1">
        <f t="shared" si="16"/>
        <v>1381.5833333333333</v>
      </c>
      <c r="M215" s="1">
        <f t="shared" si="16"/>
        <v>1754.5</v>
      </c>
      <c r="N215" t="str">
        <f t="shared" si="13"/>
        <v>HAUTS-DE-FRANCE|60 - Oise|CC Thelloise</v>
      </c>
      <c r="O215" t="str">
        <f t="shared" si="14"/>
        <v>HDF</v>
      </c>
    </row>
    <row r="216" spans="1:15" x14ac:dyDescent="0.25">
      <c r="A216" t="s">
        <v>455</v>
      </c>
      <c r="B216" t="str">
        <f t="shared" si="15"/>
        <v>Pas-de-Calais</v>
      </c>
      <c r="C216" t="s">
        <v>523</v>
      </c>
      <c r="D216" t="s">
        <v>524</v>
      </c>
      <c r="E216">
        <v>200072460</v>
      </c>
      <c r="F216">
        <v>2024</v>
      </c>
      <c r="G216" t="s">
        <v>21</v>
      </c>
      <c r="H216" s="1">
        <v>8664</v>
      </c>
      <c r="I216" s="4">
        <v>12605</v>
      </c>
      <c r="J216" s="4">
        <v>17664</v>
      </c>
      <c r="K216" s="1">
        <f t="shared" si="16"/>
        <v>722</v>
      </c>
      <c r="L216" s="1">
        <f t="shared" si="16"/>
        <v>1050.4166666666667</v>
      </c>
      <c r="M216" s="1">
        <f t="shared" si="16"/>
        <v>1472</v>
      </c>
      <c r="N216" t="str">
        <f t="shared" si="13"/>
        <v>HAUTS-DE-FRANCE|62 - Pas-de-Calais|CA de Béthune-Bruay, Artois-Lys Romane</v>
      </c>
      <c r="O216" t="str">
        <f t="shared" si="14"/>
        <v>HDF</v>
      </c>
    </row>
    <row r="217" spans="1:15" x14ac:dyDescent="0.25">
      <c r="A217" t="s">
        <v>455</v>
      </c>
      <c r="B217" t="str">
        <f t="shared" si="15"/>
        <v>Pas-de-Calais</v>
      </c>
      <c r="C217" t="s">
        <v>523</v>
      </c>
      <c r="D217" t="s">
        <v>526</v>
      </c>
      <c r="E217">
        <v>246200364</v>
      </c>
      <c r="F217">
        <v>2024</v>
      </c>
      <c r="G217" t="s">
        <v>21</v>
      </c>
      <c r="H217" s="1">
        <v>8873</v>
      </c>
      <c r="I217" s="4">
        <v>12953</v>
      </c>
      <c r="J217" s="4">
        <v>18000</v>
      </c>
      <c r="K217" s="1">
        <f t="shared" si="16"/>
        <v>739.41666666666663</v>
      </c>
      <c r="L217" s="1">
        <f t="shared" si="16"/>
        <v>1079.4166666666667</v>
      </c>
      <c r="M217" s="1">
        <f t="shared" si="16"/>
        <v>1500</v>
      </c>
      <c r="N217" t="str">
        <f t="shared" si="13"/>
        <v>HAUTS-DE-FRANCE|62 - Pas-de-Calais|CA de Lens - Liévin</v>
      </c>
      <c r="O217" t="str">
        <f t="shared" si="14"/>
        <v>HDF</v>
      </c>
    </row>
    <row r="218" spans="1:15" x14ac:dyDescent="0.25">
      <c r="A218" t="s">
        <v>455</v>
      </c>
      <c r="B218" t="str">
        <f t="shared" si="15"/>
        <v>Pas-de-Calais</v>
      </c>
      <c r="C218" t="s">
        <v>523</v>
      </c>
      <c r="D218" t="s">
        <v>528</v>
      </c>
      <c r="E218">
        <v>200069029</v>
      </c>
      <c r="F218">
        <v>2024</v>
      </c>
      <c r="G218" t="s">
        <v>21</v>
      </c>
      <c r="H218" s="1">
        <v>10152</v>
      </c>
      <c r="I218" s="4">
        <v>14016</v>
      </c>
      <c r="J218" s="4">
        <v>18716</v>
      </c>
      <c r="K218" s="1">
        <f t="shared" si="16"/>
        <v>846</v>
      </c>
      <c r="L218" s="1">
        <f t="shared" si="16"/>
        <v>1168</v>
      </c>
      <c r="M218" s="1">
        <f t="shared" si="16"/>
        <v>1559.6666666666667</v>
      </c>
      <c r="N218" t="str">
        <f t="shared" si="13"/>
        <v>HAUTS-DE-FRANCE|62 - Pas-de-Calais|CA des Deux Baies en Montreuillois</v>
      </c>
      <c r="O218" t="str">
        <f t="shared" si="14"/>
        <v>HDF</v>
      </c>
    </row>
    <row r="219" spans="1:15" x14ac:dyDescent="0.25">
      <c r="A219" t="s">
        <v>455</v>
      </c>
      <c r="B219" t="str">
        <f t="shared" si="15"/>
        <v>Pas-de-Calais</v>
      </c>
      <c r="C219" t="s">
        <v>523</v>
      </c>
      <c r="D219" t="s">
        <v>530</v>
      </c>
      <c r="E219">
        <v>246200299</v>
      </c>
      <c r="F219">
        <v>2024</v>
      </c>
      <c r="G219" t="s">
        <v>21</v>
      </c>
      <c r="H219" s="1">
        <v>9342</v>
      </c>
      <c r="I219" s="4">
        <v>13200</v>
      </c>
      <c r="J219" s="4">
        <v>18168</v>
      </c>
      <c r="K219" s="1">
        <f t="shared" si="16"/>
        <v>778.5</v>
      </c>
      <c r="L219" s="1">
        <f t="shared" si="16"/>
        <v>1100</v>
      </c>
      <c r="M219" s="1">
        <f t="shared" si="16"/>
        <v>1514</v>
      </c>
      <c r="N219" t="str">
        <f t="shared" si="13"/>
        <v>HAUTS-DE-FRANCE|62 - Pas-de-Calais|CA d'Hénin-Carvin</v>
      </c>
      <c r="O219" t="str">
        <f t="shared" si="14"/>
        <v>HDF</v>
      </c>
    </row>
    <row r="220" spans="1:15" x14ac:dyDescent="0.25">
      <c r="A220" t="s">
        <v>455</v>
      </c>
      <c r="B220" t="str">
        <f t="shared" si="15"/>
        <v>Pas-de-Calais</v>
      </c>
      <c r="C220" t="s">
        <v>523</v>
      </c>
      <c r="D220" t="s">
        <v>532</v>
      </c>
      <c r="E220">
        <v>246200729</v>
      </c>
      <c r="F220">
        <v>2024</v>
      </c>
      <c r="G220" t="s">
        <v>21</v>
      </c>
      <c r="H220" s="1">
        <v>8848</v>
      </c>
      <c r="I220" s="4">
        <v>12912</v>
      </c>
      <c r="J220" s="4">
        <v>18000</v>
      </c>
      <c r="K220" s="1">
        <f t="shared" si="16"/>
        <v>737.33333333333337</v>
      </c>
      <c r="L220" s="1">
        <f t="shared" si="16"/>
        <v>1076</v>
      </c>
      <c r="M220" s="1">
        <f t="shared" si="16"/>
        <v>1500</v>
      </c>
      <c r="N220" t="str">
        <f t="shared" si="13"/>
        <v>HAUTS-DE-FRANCE|62 - Pas-de-Calais|CA du Boulonnais</v>
      </c>
      <c r="O220" t="str">
        <f t="shared" si="14"/>
        <v>HDF</v>
      </c>
    </row>
    <row r="221" spans="1:15" x14ac:dyDescent="0.25">
      <c r="A221" t="s">
        <v>455</v>
      </c>
      <c r="B221" t="str">
        <f t="shared" si="15"/>
        <v>Pas-de-Calais</v>
      </c>
      <c r="C221" t="s">
        <v>523</v>
      </c>
      <c r="D221" t="s">
        <v>534</v>
      </c>
      <c r="E221">
        <v>200069037</v>
      </c>
      <c r="F221">
        <v>2024</v>
      </c>
      <c r="G221" t="s">
        <v>21</v>
      </c>
      <c r="H221" s="1">
        <v>8400</v>
      </c>
      <c r="I221" s="4">
        <v>12110</v>
      </c>
      <c r="J221" s="4">
        <v>16800</v>
      </c>
      <c r="K221" s="1">
        <f t="shared" si="16"/>
        <v>700</v>
      </c>
      <c r="L221" s="1">
        <f t="shared" si="16"/>
        <v>1009.1666666666666</v>
      </c>
      <c r="M221" s="1">
        <f t="shared" si="16"/>
        <v>1400</v>
      </c>
      <c r="N221" t="str">
        <f t="shared" si="13"/>
        <v>HAUTS-DE-FRANCE|62 - Pas-de-Calais|CA du Pays de Saint-Omer</v>
      </c>
      <c r="O221" t="str">
        <f t="shared" si="14"/>
        <v>HDF</v>
      </c>
    </row>
    <row r="222" spans="1:15" x14ac:dyDescent="0.25">
      <c r="A222" t="s">
        <v>455</v>
      </c>
      <c r="B222" t="str">
        <f t="shared" si="15"/>
        <v>Pas-de-Calais</v>
      </c>
      <c r="C222" t="s">
        <v>523</v>
      </c>
      <c r="D222" t="s">
        <v>536</v>
      </c>
      <c r="E222">
        <v>200090751</v>
      </c>
      <c r="F222">
        <v>2024</v>
      </c>
      <c r="G222" t="s">
        <v>21</v>
      </c>
      <c r="H222" s="1">
        <v>8256</v>
      </c>
      <c r="I222" s="4">
        <v>12072</v>
      </c>
      <c r="J222" s="4">
        <v>17130</v>
      </c>
      <c r="K222" s="1">
        <f t="shared" si="16"/>
        <v>688</v>
      </c>
      <c r="L222" s="1">
        <f t="shared" si="16"/>
        <v>1006</v>
      </c>
      <c r="M222" s="1">
        <f t="shared" si="16"/>
        <v>1427.5</v>
      </c>
      <c r="N222" t="str">
        <f t="shared" si="13"/>
        <v>HAUTS-DE-FRANCE|62 - Pas-de-Calais|CA Grand Calais Terres et Mers</v>
      </c>
      <c r="O222" t="str">
        <f t="shared" si="14"/>
        <v>HDF</v>
      </c>
    </row>
    <row r="223" spans="1:15" x14ac:dyDescent="0.25">
      <c r="A223" t="s">
        <v>455</v>
      </c>
      <c r="B223" t="str">
        <f t="shared" si="15"/>
        <v>Pas-de-Calais</v>
      </c>
      <c r="C223" t="s">
        <v>523</v>
      </c>
      <c r="D223" t="s">
        <v>538</v>
      </c>
      <c r="E223">
        <v>200033579</v>
      </c>
      <c r="F223">
        <v>2024</v>
      </c>
      <c r="G223" t="s">
        <v>21</v>
      </c>
      <c r="H223" s="1">
        <v>8985</v>
      </c>
      <c r="I223" s="4">
        <v>13100</v>
      </c>
      <c r="J223" s="4">
        <v>18252</v>
      </c>
      <c r="K223" s="1">
        <f t="shared" si="16"/>
        <v>748.75</v>
      </c>
      <c r="L223" s="1">
        <f t="shared" si="16"/>
        <v>1091.6666666666667</v>
      </c>
      <c r="M223" s="1">
        <f t="shared" si="16"/>
        <v>1521</v>
      </c>
      <c r="N223" t="str">
        <f t="shared" si="13"/>
        <v>HAUTS-DE-FRANCE|62 - Pas-de-Calais|CU d'Arras</v>
      </c>
      <c r="O223" t="str">
        <f t="shared" si="14"/>
        <v>HDF</v>
      </c>
    </row>
    <row r="224" spans="1:15" x14ac:dyDescent="0.25">
      <c r="A224" t="s">
        <v>455</v>
      </c>
      <c r="B224" t="str">
        <f t="shared" si="15"/>
        <v>Somme</v>
      </c>
      <c r="C224" t="s">
        <v>541</v>
      </c>
      <c r="D224" t="s">
        <v>542</v>
      </c>
      <c r="E224">
        <v>248000531</v>
      </c>
      <c r="F224">
        <v>2024</v>
      </c>
      <c r="G224" t="s">
        <v>21</v>
      </c>
      <c r="H224" s="1">
        <v>8957</v>
      </c>
      <c r="I224" s="4">
        <v>13152</v>
      </c>
      <c r="J224" s="4">
        <v>18471</v>
      </c>
      <c r="K224" s="1">
        <f t="shared" si="16"/>
        <v>746.41666666666663</v>
      </c>
      <c r="L224" s="1">
        <f t="shared" si="16"/>
        <v>1096</v>
      </c>
      <c r="M224" s="1">
        <f t="shared" si="16"/>
        <v>1539.25</v>
      </c>
      <c r="N224" t="str">
        <f t="shared" si="13"/>
        <v>HAUTS-DE-FRANCE|80 - Somme|CA Amiens Métropole</v>
      </c>
      <c r="O224" t="str">
        <f t="shared" si="14"/>
        <v>HDF</v>
      </c>
    </row>
    <row r="225" spans="1:15" x14ac:dyDescent="0.25">
      <c r="A225" t="s">
        <v>455</v>
      </c>
      <c r="B225" t="str">
        <f t="shared" si="15"/>
        <v>Somme</v>
      </c>
      <c r="C225" t="s">
        <v>541</v>
      </c>
      <c r="D225" t="s">
        <v>544</v>
      </c>
      <c r="E225">
        <v>200070993</v>
      </c>
      <c r="F225">
        <v>2024</v>
      </c>
      <c r="G225" t="s">
        <v>21</v>
      </c>
      <c r="H225" s="1">
        <v>8910</v>
      </c>
      <c r="I225" s="4">
        <v>12475</v>
      </c>
      <c r="J225" s="4">
        <v>17212</v>
      </c>
      <c r="K225" s="1">
        <f t="shared" si="16"/>
        <v>742.5</v>
      </c>
      <c r="L225" s="1">
        <f t="shared" si="16"/>
        <v>1039.5833333333333</v>
      </c>
      <c r="M225" s="1">
        <f t="shared" si="16"/>
        <v>1434.3333333333333</v>
      </c>
      <c r="N225" t="str">
        <f t="shared" si="13"/>
        <v>HAUTS-DE-FRANCE|80 - Somme|CA de la Baie de Somme</v>
      </c>
      <c r="O225" t="str">
        <f t="shared" si="14"/>
        <v>HDF</v>
      </c>
    </row>
    <row r="226" spans="1:15" x14ac:dyDescent="0.25">
      <c r="A226" t="s">
        <v>546</v>
      </c>
      <c r="B226" t="str">
        <f t="shared" si="15"/>
        <v>Paris</v>
      </c>
      <c r="C226" t="s">
        <v>548</v>
      </c>
      <c r="D226" t="s">
        <v>547</v>
      </c>
      <c r="E226">
        <v>217500016</v>
      </c>
      <c r="F226">
        <v>2024</v>
      </c>
      <c r="G226" t="s">
        <v>21</v>
      </c>
      <c r="H226" s="1">
        <v>11615</v>
      </c>
      <c r="I226" s="4">
        <v>17040</v>
      </c>
      <c r="J226" s="4">
        <v>22632</v>
      </c>
      <c r="K226" s="1">
        <f t="shared" si="16"/>
        <v>967.91666666666663</v>
      </c>
      <c r="L226" s="1">
        <f t="shared" si="16"/>
        <v>1420</v>
      </c>
      <c r="M226" s="1">
        <f t="shared" si="16"/>
        <v>1886</v>
      </c>
      <c r="N226" t="str">
        <f t="shared" si="13"/>
        <v>ÎLE-DE-FRANCE|75 - Paris|Paris</v>
      </c>
      <c r="O226" t="str">
        <f t="shared" si="14"/>
        <v>IDF</v>
      </c>
    </row>
    <row r="227" spans="1:15" x14ac:dyDescent="0.25">
      <c r="A227" t="s">
        <v>546</v>
      </c>
      <c r="B227" t="str">
        <f t="shared" si="15"/>
        <v>Seine-et-Marne</v>
      </c>
      <c r="C227" t="s">
        <v>551</v>
      </c>
      <c r="D227" t="s">
        <v>552</v>
      </c>
      <c r="E227">
        <v>200090504</v>
      </c>
      <c r="F227">
        <v>2024</v>
      </c>
      <c r="G227" t="s">
        <v>21</v>
      </c>
      <c r="H227" s="1">
        <v>11615</v>
      </c>
      <c r="I227" s="4">
        <v>17040</v>
      </c>
      <c r="J227" s="4">
        <v>22632</v>
      </c>
      <c r="K227" s="1">
        <f t="shared" si="16"/>
        <v>967.91666666666663</v>
      </c>
      <c r="L227" s="1">
        <f t="shared" si="16"/>
        <v>1420</v>
      </c>
      <c r="M227" s="1">
        <f t="shared" si="16"/>
        <v>1886</v>
      </c>
      <c r="N227" t="str">
        <f t="shared" si="13"/>
        <v>ÎLE-DE-FRANCE|77 - Seine-et-Marne|CA Coulommiers Pays de Brie</v>
      </c>
      <c r="O227" t="str">
        <f t="shared" si="14"/>
        <v>IDF</v>
      </c>
    </row>
    <row r="228" spans="1:15" x14ac:dyDescent="0.25">
      <c r="A228" t="s">
        <v>546</v>
      </c>
      <c r="B228" t="str">
        <f t="shared" si="15"/>
        <v>Seine-et-Marne</v>
      </c>
      <c r="C228" t="s">
        <v>551</v>
      </c>
      <c r="D228" t="s">
        <v>554</v>
      </c>
      <c r="E228">
        <v>200072346</v>
      </c>
      <c r="F228">
        <v>2024</v>
      </c>
      <c r="G228" t="s">
        <v>21</v>
      </c>
      <c r="H228" s="1">
        <v>11615</v>
      </c>
      <c r="I228" s="4">
        <v>17040</v>
      </c>
      <c r="J228" s="4">
        <v>22632</v>
      </c>
      <c r="K228" s="1">
        <f t="shared" si="16"/>
        <v>967.91666666666663</v>
      </c>
      <c r="L228" s="1">
        <f t="shared" si="16"/>
        <v>1420</v>
      </c>
      <c r="M228" s="1">
        <f t="shared" si="16"/>
        <v>1886</v>
      </c>
      <c r="N228" t="str">
        <f t="shared" si="13"/>
        <v>ÎLE-DE-FRANCE|77 - Seine-et-Marne|CA du Pays de Fontainebleau</v>
      </c>
      <c r="O228" t="str">
        <f t="shared" si="14"/>
        <v>IDF</v>
      </c>
    </row>
    <row r="229" spans="1:15" x14ac:dyDescent="0.25">
      <c r="A229" t="s">
        <v>546</v>
      </c>
      <c r="B229" t="str">
        <f t="shared" si="15"/>
        <v>Seine-et-Marne</v>
      </c>
      <c r="C229" t="s">
        <v>551</v>
      </c>
      <c r="D229" t="s">
        <v>556</v>
      </c>
      <c r="E229">
        <v>200072130</v>
      </c>
      <c r="F229">
        <v>2024</v>
      </c>
      <c r="G229" t="s">
        <v>21</v>
      </c>
      <c r="H229" s="1">
        <v>11615</v>
      </c>
      <c r="I229" s="4">
        <v>17040</v>
      </c>
      <c r="J229" s="4">
        <v>22632</v>
      </c>
      <c r="K229" s="1">
        <f t="shared" si="16"/>
        <v>967.91666666666663</v>
      </c>
      <c r="L229" s="1">
        <f t="shared" si="16"/>
        <v>1420</v>
      </c>
      <c r="M229" s="1">
        <f t="shared" si="16"/>
        <v>1886</v>
      </c>
      <c r="N229" t="str">
        <f t="shared" si="13"/>
        <v>ÎLE-DE-FRANCE|77 - Seine-et-Marne|CA du Pays de Meaux</v>
      </c>
      <c r="O229" t="str">
        <f t="shared" si="14"/>
        <v>IDF</v>
      </c>
    </row>
    <row r="230" spans="1:15" x14ac:dyDescent="0.25">
      <c r="A230" t="s">
        <v>546</v>
      </c>
      <c r="B230" t="str">
        <f t="shared" si="15"/>
        <v>Seine-et-Marne</v>
      </c>
      <c r="C230" t="s">
        <v>551</v>
      </c>
      <c r="D230" t="s">
        <v>558</v>
      </c>
      <c r="E230">
        <v>200059228</v>
      </c>
      <c r="F230">
        <v>2024</v>
      </c>
      <c r="G230" t="s">
        <v>21</v>
      </c>
      <c r="H230" s="1">
        <v>11615</v>
      </c>
      <c r="I230" s="4">
        <v>17040</v>
      </c>
      <c r="J230" s="4">
        <v>22632</v>
      </c>
      <c r="K230" s="1">
        <f t="shared" si="16"/>
        <v>967.91666666666663</v>
      </c>
      <c r="L230" s="1">
        <f t="shared" si="16"/>
        <v>1420</v>
      </c>
      <c r="M230" s="1">
        <f t="shared" si="16"/>
        <v>1886</v>
      </c>
      <c r="N230" t="str">
        <f t="shared" si="13"/>
        <v>ÎLE-DE-FRANCE|77 - Seine-et-Marne|CA Grand Paris Sud Seine Essonne Sénart</v>
      </c>
      <c r="O230" t="str">
        <f t="shared" si="14"/>
        <v>IDF</v>
      </c>
    </row>
    <row r="231" spans="1:15" x14ac:dyDescent="0.25">
      <c r="A231" t="s">
        <v>546</v>
      </c>
      <c r="B231" t="str">
        <f t="shared" si="15"/>
        <v>Seine-et-Marne</v>
      </c>
      <c r="C231" t="s">
        <v>551</v>
      </c>
      <c r="D231" t="s">
        <v>560</v>
      </c>
      <c r="E231">
        <v>247700594</v>
      </c>
      <c r="F231">
        <v>2024</v>
      </c>
      <c r="G231" t="s">
        <v>21</v>
      </c>
      <c r="H231" s="1">
        <v>11615</v>
      </c>
      <c r="I231" s="4">
        <v>17040</v>
      </c>
      <c r="J231" s="4">
        <v>22632</v>
      </c>
      <c r="K231" s="1">
        <f t="shared" si="16"/>
        <v>967.91666666666663</v>
      </c>
      <c r="L231" s="1">
        <f t="shared" si="16"/>
        <v>1420</v>
      </c>
      <c r="M231" s="1">
        <f t="shared" si="16"/>
        <v>1886</v>
      </c>
      <c r="N231" t="str">
        <f t="shared" si="13"/>
        <v>ÎLE-DE-FRANCE|77 - Seine-et-Marne|CA Marne et Gondoire</v>
      </c>
      <c r="O231" t="str">
        <f t="shared" si="14"/>
        <v>IDF</v>
      </c>
    </row>
    <row r="232" spans="1:15" x14ac:dyDescent="0.25">
      <c r="A232" t="s">
        <v>546</v>
      </c>
      <c r="B232" t="str">
        <f t="shared" si="15"/>
        <v>Seine-et-Marne</v>
      </c>
      <c r="C232" t="s">
        <v>551</v>
      </c>
      <c r="D232" t="s">
        <v>562</v>
      </c>
      <c r="E232">
        <v>247700057</v>
      </c>
      <c r="F232">
        <v>2024</v>
      </c>
      <c r="G232" t="s">
        <v>21</v>
      </c>
      <c r="H232" s="1">
        <v>11615</v>
      </c>
      <c r="I232" s="4">
        <v>17040</v>
      </c>
      <c r="J232" s="4">
        <v>22632</v>
      </c>
      <c r="K232" s="1">
        <f t="shared" si="16"/>
        <v>967.91666666666663</v>
      </c>
      <c r="L232" s="1">
        <f t="shared" si="16"/>
        <v>1420</v>
      </c>
      <c r="M232" s="1">
        <f t="shared" si="16"/>
        <v>1886</v>
      </c>
      <c r="N232" t="str">
        <f t="shared" si="13"/>
        <v>ÎLE-DE-FRANCE|77 - Seine-et-Marne|CA Melun Val de Seine</v>
      </c>
      <c r="O232" t="str">
        <f t="shared" si="14"/>
        <v>IDF</v>
      </c>
    </row>
    <row r="233" spans="1:15" x14ac:dyDescent="0.25">
      <c r="A233" t="s">
        <v>546</v>
      </c>
      <c r="B233" t="str">
        <f t="shared" si="15"/>
        <v>Seine-et-Marne</v>
      </c>
      <c r="C233" t="s">
        <v>551</v>
      </c>
      <c r="D233" t="s">
        <v>564</v>
      </c>
      <c r="E233">
        <v>200057958</v>
      </c>
      <c r="F233">
        <v>2024</v>
      </c>
      <c r="G233" t="s">
        <v>21</v>
      </c>
      <c r="H233" s="1">
        <v>11615</v>
      </c>
      <c r="I233" s="4">
        <v>17040</v>
      </c>
      <c r="J233" s="4">
        <v>22632</v>
      </c>
      <c r="K233" s="1">
        <f t="shared" si="16"/>
        <v>967.91666666666663</v>
      </c>
      <c r="L233" s="1">
        <f t="shared" si="16"/>
        <v>1420</v>
      </c>
      <c r="M233" s="1">
        <f t="shared" si="16"/>
        <v>1886</v>
      </c>
      <c r="N233" t="str">
        <f t="shared" si="13"/>
        <v>ÎLE-DE-FRANCE|77 - Seine-et-Marne|CA Paris - Vallée de la Marne</v>
      </c>
      <c r="O233" t="str">
        <f t="shared" si="14"/>
        <v>IDF</v>
      </c>
    </row>
    <row r="234" spans="1:15" x14ac:dyDescent="0.25">
      <c r="A234" t="s">
        <v>546</v>
      </c>
      <c r="B234" t="str">
        <f t="shared" si="15"/>
        <v>Seine-et-Marne</v>
      </c>
      <c r="C234" t="s">
        <v>551</v>
      </c>
      <c r="D234" t="s">
        <v>566</v>
      </c>
      <c r="E234">
        <v>200055655</v>
      </c>
      <c r="F234">
        <v>2024</v>
      </c>
      <c r="G234" t="s">
        <v>21</v>
      </c>
      <c r="H234" s="1">
        <v>11615</v>
      </c>
      <c r="I234" s="4">
        <v>17040</v>
      </c>
      <c r="J234" s="4">
        <v>22632</v>
      </c>
      <c r="K234" s="1">
        <f t="shared" si="16"/>
        <v>967.91666666666663</v>
      </c>
      <c r="L234" s="1">
        <f t="shared" si="16"/>
        <v>1420</v>
      </c>
      <c r="M234" s="1">
        <f t="shared" si="16"/>
        <v>1886</v>
      </c>
      <c r="N234" t="str">
        <f t="shared" si="13"/>
        <v>ÎLE-DE-FRANCE|77 - Seine-et-Marne|CA Roissy Pays de France</v>
      </c>
      <c r="O234" t="str">
        <f t="shared" si="14"/>
        <v>IDF</v>
      </c>
    </row>
    <row r="235" spans="1:15" x14ac:dyDescent="0.25">
      <c r="A235" t="s">
        <v>546</v>
      </c>
      <c r="B235" t="str">
        <f t="shared" si="15"/>
        <v>Seine-et-Marne</v>
      </c>
      <c r="C235" t="s">
        <v>551</v>
      </c>
      <c r="D235" t="s">
        <v>568</v>
      </c>
      <c r="E235">
        <v>247700339</v>
      </c>
      <c r="F235">
        <v>2024</v>
      </c>
      <c r="G235" t="s">
        <v>21</v>
      </c>
      <c r="H235" s="1">
        <v>11615</v>
      </c>
      <c r="I235" s="4">
        <v>17040</v>
      </c>
      <c r="J235" s="4">
        <v>22632</v>
      </c>
      <c r="K235" s="1">
        <f t="shared" si="16"/>
        <v>967.91666666666663</v>
      </c>
      <c r="L235" s="1">
        <f t="shared" si="16"/>
        <v>1420</v>
      </c>
      <c r="M235" s="1">
        <f t="shared" si="16"/>
        <v>1886</v>
      </c>
      <c r="N235" t="str">
        <f t="shared" si="13"/>
        <v>ÎLE-DE-FRANCE|77 - Seine-et-Marne|CA Val d'Europe Agglomération</v>
      </c>
      <c r="O235" t="str">
        <f t="shared" si="14"/>
        <v>IDF</v>
      </c>
    </row>
    <row r="236" spans="1:15" x14ac:dyDescent="0.25">
      <c r="A236" t="s">
        <v>546</v>
      </c>
      <c r="B236" t="str">
        <f t="shared" si="15"/>
        <v>Seine-et-Marne</v>
      </c>
      <c r="C236" t="s">
        <v>551</v>
      </c>
      <c r="D236" t="s">
        <v>570</v>
      </c>
      <c r="E236">
        <v>200037133</v>
      </c>
      <c r="F236">
        <v>2024</v>
      </c>
      <c r="G236" t="s">
        <v>21</v>
      </c>
      <c r="H236" s="1">
        <v>11615</v>
      </c>
      <c r="I236" s="4">
        <v>17040</v>
      </c>
      <c r="J236" s="4">
        <v>22632</v>
      </c>
      <c r="K236" s="1">
        <f t="shared" si="16"/>
        <v>967.91666666666663</v>
      </c>
      <c r="L236" s="1">
        <f t="shared" si="16"/>
        <v>1420</v>
      </c>
      <c r="M236" s="1">
        <f t="shared" si="16"/>
        <v>1886</v>
      </c>
      <c r="N236" t="str">
        <f t="shared" si="13"/>
        <v>ÎLE-DE-FRANCE|77 - Seine-et-Marne|CC du Provinois</v>
      </c>
      <c r="O236" t="str">
        <f t="shared" si="14"/>
        <v>IDF</v>
      </c>
    </row>
    <row r="237" spans="1:15" x14ac:dyDescent="0.25">
      <c r="A237" t="s">
        <v>546</v>
      </c>
      <c r="B237" t="str">
        <f t="shared" si="15"/>
        <v>Seine-et-Marne</v>
      </c>
      <c r="C237" t="s">
        <v>551</v>
      </c>
      <c r="D237" t="s">
        <v>572</v>
      </c>
      <c r="E237">
        <v>247700032</v>
      </c>
      <c r="F237">
        <v>2024</v>
      </c>
      <c r="G237" t="s">
        <v>21</v>
      </c>
      <c r="H237" s="1">
        <v>11615</v>
      </c>
      <c r="I237" s="4">
        <v>17040</v>
      </c>
      <c r="J237" s="4">
        <v>22632</v>
      </c>
      <c r="K237" s="1">
        <f t="shared" si="16"/>
        <v>967.91666666666663</v>
      </c>
      <c r="L237" s="1">
        <f t="shared" si="16"/>
        <v>1420</v>
      </c>
      <c r="M237" s="1">
        <f t="shared" si="16"/>
        <v>1886</v>
      </c>
      <c r="N237" t="str">
        <f t="shared" si="13"/>
        <v>ÎLE-DE-FRANCE|77 - Seine-et-Marne|CC Moret Seine et Loing</v>
      </c>
      <c r="O237" t="str">
        <f t="shared" si="14"/>
        <v>IDF</v>
      </c>
    </row>
    <row r="238" spans="1:15" x14ac:dyDescent="0.25">
      <c r="A238" t="s">
        <v>546</v>
      </c>
      <c r="B238" t="str">
        <f t="shared" si="15"/>
        <v>Seine-et-Marne</v>
      </c>
      <c r="C238" t="s">
        <v>551</v>
      </c>
      <c r="D238" t="s">
        <v>574</v>
      </c>
      <c r="E238">
        <v>247700107</v>
      </c>
      <c r="F238">
        <v>2024</v>
      </c>
      <c r="G238" t="s">
        <v>21</v>
      </c>
      <c r="H238" s="1">
        <v>11615</v>
      </c>
      <c r="I238" s="4">
        <v>17040</v>
      </c>
      <c r="J238" s="4">
        <v>22632</v>
      </c>
      <c r="K238" s="1">
        <f t="shared" si="16"/>
        <v>967.91666666666663</v>
      </c>
      <c r="L238" s="1">
        <f t="shared" si="16"/>
        <v>1420</v>
      </c>
      <c r="M238" s="1">
        <f t="shared" si="16"/>
        <v>1886</v>
      </c>
      <c r="N238" t="str">
        <f t="shared" si="13"/>
        <v>ÎLE-DE-FRANCE|77 - Seine-et-Marne|CC Pays de Montereau</v>
      </c>
      <c r="O238" t="str">
        <f t="shared" si="14"/>
        <v>IDF</v>
      </c>
    </row>
    <row r="239" spans="1:15" x14ac:dyDescent="0.25">
      <c r="A239" t="s">
        <v>546</v>
      </c>
      <c r="B239" t="str">
        <f t="shared" si="15"/>
        <v>Seine-et-Marne</v>
      </c>
      <c r="C239" t="s">
        <v>551</v>
      </c>
      <c r="D239" t="s">
        <v>576</v>
      </c>
      <c r="E239">
        <v>200023240</v>
      </c>
      <c r="F239">
        <v>2024</v>
      </c>
      <c r="G239" t="s">
        <v>21</v>
      </c>
      <c r="H239" s="1">
        <v>11615</v>
      </c>
      <c r="I239" s="4">
        <v>17040</v>
      </c>
      <c r="J239" s="4">
        <v>22632</v>
      </c>
      <c r="K239" s="1">
        <f t="shared" si="16"/>
        <v>967.91666666666663</v>
      </c>
      <c r="L239" s="1">
        <f t="shared" si="16"/>
        <v>1420</v>
      </c>
      <c r="M239" s="1">
        <f t="shared" si="16"/>
        <v>1886</v>
      </c>
      <c r="N239" t="str">
        <f t="shared" si="13"/>
        <v>ÎLE-DE-FRANCE|77 - Seine-et-Marne|CC Pays de Nemours</v>
      </c>
      <c r="O239" t="str">
        <f t="shared" si="14"/>
        <v>IDF</v>
      </c>
    </row>
    <row r="240" spans="1:15" x14ac:dyDescent="0.25">
      <c r="A240" t="s">
        <v>546</v>
      </c>
      <c r="B240" t="str">
        <f t="shared" si="15"/>
        <v>Yvelines</v>
      </c>
      <c r="C240" t="s">
        <v>579</v>
      </c>
      <c r="D240" t="s">
        <v>580</v>
      </c>
      <c r="E240">
        <v>249500109</v>
      </c>
      <c r="F240">
        <v>2024</v>
      </c>
      <c r="G240" t="s">
        <v>21</v>
      </c>
      <c r="H240" s="1">
        <v>11615</v>
      </c>
      <c r="I240" s="4">
        <v>17040</v>
      </c>
      <c r="J240" s="4">
        <v>22632</v>
      </c>
      <c r="K240" s="1">
        <f t="shared" si="16"/>
        <v>967.91666666666663</v>
      </c>
      <c r="L240" s="1">
        <f t="shared" si="16"/>
        <v>1420</v>
      </c>
      <c r="M240" s="1">
        <f t="shared" si="16"/>
        <v>1886</v>
      </c>
      <c r="N240" t="str">
        <f t="shared" si="13"/>
        <v>ÎLE-DE-FRANCE|78 - Yvelines|CA de Cergy-Pontoise</v>
      </c>
      <c r="O240" t="str">
        <f t="shared" si="14"/>
        <v>IDF</v>
      </c>
    </row>
    <row r="241" spans="1:15" x14ac:dyDescent="0.25">
      <c r="A241" t="s">
        <v>546</v>
      </c>
      <c r="B241" t="str">
        <f t="shared" si="15"/>
        <v>Yvelines</v>
      </c>
      <c r="C241" t="s">
        <v>579</v>
      </c>
      <c r="D241" t="s">
        <v>582</v>
      </c>
      <c r="E241">
        <v>200058782</v>
      </c>
      <c r="F241">
        <v>2024</v>
      </c>
      <c r="G241" t="s">
        <v>21</v>
      </c>
      <c r="H241" s="1">
        <v>11615</v>
      </c>
      <c r="I241" s="4">
        <v>17040</v>
      </c>
      <c r="J241" s="4">
        <v>22632</v>
      </c>
      <c r="K241" s="1">
        <f t="shared" si="16"/>
        <v>967.91666666666663</v>
      </c>
      <c r="L241" s="1">
        <f t="shared" si="16"/>
        <v>1420</v>
      </c>
      <c r="M241" s="1">
        <f t="shared" si="16"/>
        <v>1886</v>
      </c>
      <c r="N241" t="str">
        <f t="shared" si="13"/>
        <v>ÎLE-DE-FRANCE|78 - Yvelines|CA de Saint Quentin en Yvelines</v>
      </c>
      <c r="O241" t="str">
        <f t="shared" si="14"/>
        <v>IDF</v>
      </c>
    </row>
    <row r="242" spans="1:15" x14ac:dyDescent="0.25">
      <c r="A242" t="s">
        <v>546</v>
      </c>
      <c r="B242" t="str">
        <f t="shared" si="15"/>
        <v>Yvelines</v>
      </c>
      <c r="C242" t="s">
        <v>579</v>
      </c>
      <c r="D242" t="s">
        <v>584</v>
      </c>
      <c r="E242">
        <v>200073344</v>
      </c>
      <c r="F242">
        <v>2024</v>
      </c>
      <c r="G242" t="s">
        <v>21</v>
      </c>
      <c r="H242" s="1">
        <v>11615</v>
      </c>
      <c r="I242" s="4">
        <v>17040</v>
      </c>
      <c r="J242" s="4">
        <v>22632</v>
      </c>
      <c r="K242" s="1">
        <f t="shared" si="16"/>
        <v>967.91666666666663</v>
      </c>
      <c r="L242" s="1">
        <f t="shared" si="16"/>
        <v>1420</v>
      </c>
      <c r="M242" s="1">
        <f t="shared" si="16"/>
        <v>1886</v>
      </c>
      <c r="N242" t="str">
        <f t="shared" si="13"/>
        <v>ÎLE-DE-FRANCE|78 - Yvelines|CA Rambouillet Territoires</v>
      </c>
      <c r="O242" t="str">
        <f t="shared" si="14"/>
        <v>IDF</v>
      </c>
    </row>
    <row r="243" spans="1:15" x14ac:dyDescent="0.25">
      <c r="A243" t="s">
        <v>546</v>
      </c>
      <c r="B243" t="str">
        <f t="shared" si="15"/>
        <v>Yvelines</v>
      </c>
      <c r="C243" t="s">
        <v>579</v>
      </c>
      <c r="D243" t="s">
        <v>586</v>
      </c>
      <c r="E243">
        <v>200058519</v>
      </c>
      <c r="F243">
        <v>2024</v>
      </c>
      <c r="G243" t="s">
        <v>21</v>
      </c>
      <c r="H243" s="1">
        <v>11615</v>
      </c>
      <c r="I243" s="4">
        <v>17040</v>
      </c>
      <c r="J243" s="4">
        <v>22632</v>
      </c>
      <c r="K243" s="1">
        <f t="shared" si="16"/>
        <v>967.91666666666663</v>
      </c>
      <c r="L243" s="1">
        <f t="shared" si="16"/>
        <v>1420</v>
      </c>
      <c r="M243" s="1">
        <f t="shared" si="16"/>
        <v>1886</v>
      </c>
      <c r="N243" t="str">
        <f t="shared" si="13"/>
        <v>ÎLE-DE-FRANCE|78 - Yvelines|CA Saint Germain Boucles de Seine</v>
      </c>
      <c r="O243" t="str">
        <f t="shared" si="14"/>
        <v>IDF</v>
      </c>
    </row>
    <row r="244" spans="1:15" x14ac:dyDescent="0.25">
      <c r="A244" t="s">
        <v>546</v>
      </c>
      <c r="B244" t="str">
        <f t="shared" si="15"/>
        <v>Yvelines</v>
      </c>
      <c r="C244" t="s">
        <v>579</v>
      </c>
      <c r="D244" t="s">
        <v>588</v>
      </c>
      <c r="E244">
        <v>247800584</v>
      </c>
      <c r="F244">
        <v>2024</v>
      </c>
      <c r="G244" t="s">
        <v>21</v>
      </c>
      <c r="H244" s="1">
        <v>11615</v>
      </c>
      <c r="I244" s="4">
        <v>17040</v>
      </c>
      <c r="J244" s="4">
        <v>22632</v>
      </c>
      <c r="K244" s="1">
        <f t="shared" si="16"/>
        <v>967.91666666666663</v>
      </c>
      <c r="L244" s="1">
        <f t="shared" si="16"/>
        <v>1420</v>
      </c>
      <c r="M244" s="1">
        <f t="shared" si="16"/>
        <v>1886</v>
      </c>
      <c r="N244" t="str">
        <f t="shared" si="13"/>
        <v>ÎLE-DE-FRANCE|78 - Yvelines|CA Versailles Grand Parc (CAVGP)</v>
      </c>
      <c r="O244" t="str">
        <f t="shared" si="14"/>
        <v>IDF</v>
      </c>
    </row>
    <row r="245" spans="1:15" x14ac:dyDescent="0.25">
      <c r="A245" t="s">
        <v>546</v>
      </c>
      <c r="B245" t="str">
        <f t="shared" si="15"/>
        <v>Yvelines</v>
      </c>
      <c r="C245" t="s">
        <v>579</v>
      </c>
      <c r="D245" t="s">
        <v>590</v>
      </c>
      <c r="E245">
        <v>200059889</v>
      </c>
      <c r="F245">
        <v>2024</v>
      </c>
      <c r="G245" t="s">
        <v>21</v>
      </c>
      <c r="H245" s="1">
        <v>11615</v>
      </c>
      <c r="I245" s="4">
        <v>17040</v>
      </c>
      <c r="J245" s="4">
        <v>22632</v>
      </c>
      <c r="K245" s="1">
        <f t="shared" si="16"/>
        <v>967.91666666666663</v>
      </c>
      <c r="L245" s="1">
        <f t="shared" si="16"/>
        <v>1420</v>
      </c>
      <c r="M245" s="1">
        <f t="shared" si="16"/>
        <v>1886</v>
      </c>
      <c r="N245" t="str">
        <f t="shared" si="13"/>
        <v>ÎLE-DE-FRANCE|78 - Yvelines|CU Grand Paris Seine et Oise</v>
      </c>
      <c r="O245" t="str">
        <f t="shared" si="14"/>
        <v>IDF</v>
      </c>
    </row>
    <row r="246" spans="1:15" x14ac:dyDescent="0.25">
      <c r="A246" t="s">
        <v>546</v>
      </c>
      <c r="B246" t="str">
        <f t="shared" si="15"/>
        <v>Essonne</v>
      </c>
      <c r="C246" t="s">
        <v>593</v>
      </c>
      <c r="D246" t="s">
        <v>594</v>
      </c>
      <c r="E246">
        <v>200057859</v>
      </c>
      <c r="F246">
        <v>2024</v>
      </c>
      <c r="G246" t="s">
        <v>21</v>
      </c>
      <c r="H246" s="1">
        <v>11615</v>
      </c>
      <c r="I246" s="4">
        <v>17040</v>
      </c>
      <c r="J246" s="4">
        <v>22632</v>
      </c>
      <c r="K246" s="1">
        <f t="shared" si="16"/>
        <v>967.91666666666663</v>
      </c>
      <c r="L246" s="1">
        <f t="shared" si="16"/>
        <v>1420</v>
      </c>
      <c r="M246" s="1">
        <f t="shared" si="16"/>
        <v>1886</v>
      </c>
      <c r="N246" t="str">
        <f t="shared" si="13"/>
        <v>ÎLE-DE-FRANCE|91 - Essonne|CA Coeur d'Essonne Agglomération</v>
      </c>
      <c r="O246" t="str">
        <f t="shared" si="14"/>
        <v>IDF</v>
      </c>
    </row>
    <row r="247" spans="1:15" x14ac:dyDescent="0.25">
      <c r="A247" t="s">
        <v>546</v>
      </c>
      <c r="B247" t="str">
        <f t="shared" si="15"/>
        <v>Essonne</v>
      </c>
      <c r="C247" t="s">
        <v>593</v>
      </c>
      <c r="D247" t="s">
        <v>596</v>
      </c>
      <c r="E247">
        <v>200056232</v>
      </c>
      <c r="F247">
        <v>2024</v>
      </c>
      <c r="G247" t="s">
        <v>21</v>
      </c>
      <c r="H247" s="1">
        <v>11615</v>
      </c>
      <c r="I247" s="4">
        <v>17040</v>
      </c>
      <c r="J247" s="4">
        <v>22632</v>
      </c>
      <c r="K247" s="1">
        <f t="shared" si="16"/>
        <v>967.91666666666663</v>
      </c>
      <c r="L247" s="1">
        <f t="shared" si="16"/>
        <v>1420</v>
      </c>
      <c r="M247" s="1">
        <f t="shared" si="16"/>
        <v>1886</v>
      </c>
      <c r="N247" t="str">
        <f t="shared" si="13"/>
        <v>ÎLE-DE-FRANCE|91 - Essonne|CA Communauté Paris-Saclay</v>
      </c>
      <c r="O247" t="str">
        <f t="shared" si="14"/>
        <v>IDF</v>
      </c>
    </row>
    <row r="248" spans="1:15" x14ac:dyDescent="0.25">
      <c r="A248" t="s">
        <v>546</v>
      </c>
      <c r="B248" t="str">
        <f t="shared" si="15"/>
        <v>Essonne</v>
      </c>
      <c r="C248" t="s">
        <v>593</v>
      </c>
      <c r="D248" t="s">
        <v>598</v>
      </c>
      <c r="E248">
        <v>200017846</v>
      </c>
      <c r="F248">
        <v>2024</v>
      </c>
      <c r="G248" t="s">
        <v>21</v>
      </c>
      <c r="H248" s="1">
        <v>11615</v>
      </c>
      <c r="I248" s="4">
        <v>17040</v>
      </c>
      <c r="J248" s="4">
        <v>22632</v>
      </c>
      <c r="K248" s="1">
        <f t="shared" si="16"/>
        <v>967.91666666666663</v>
      </c>
      <c r="L248" s="1">
        <f t="shared" si="16"/>
        <v>1420</v>
      </c>
      <c r="M248" s="1">
        <f t="shared" si="16"/>
        <v>1886</v>
      </c>
      <c r="N248" t="str">
        <f t="shared" si="13"/>
        <v>ÎLE-DE-FRANCE|91 - Essonne|CA Étampois Sud Essonne</v>
      </c>
      <c r="O248" t="str">
        <f t="shared" si="14"/>
        <v>IDF</v>
      </c>
    </row>
    <row r="249" spans="1:15" x14ac:dyDescent="0.25">
      <c r="A249" t="s">
        <v>546</v>
      </c>
      <c r="B249" t="str">
        <f t="shared" si="15"/>
        <v>Essonne</v>
      </c>
      <c r="C249" t="s">
        <v>593</v>
      </c>
      <c r="D249" t="s">
        <v>558</v>
      </c>
      <c r="E249">
        <v>200059228</v>
      </c>
      <c r="F249">
        <v>2024</v>
      </c>
      <c r="G249" t="s">
        <v>21</v>
      </c>
      <c r="H249" s="1">
        <v>11615</v>
      </c>
      <c r="I249" s="4">
        <v>17040</v>
      </c>
      <c r="J249" s="4">
        <v>22632</v>
      </c>
      <c r="K249" s="1">
        <f t="shared" si="16"/>
        <v>967.91666666666663</v>
      </c>
      <c r="L249" s="1">
        <f t="shared" si="16"/>
        <v>1420</v>
      </c>
      <c r="M249" s="1">
        <f t="shared" si="16"/>
        <v>1886</v>
      </c>
      <c r="N249" t="str">
        <f t="shared" si="13"/>
        <v>ÎLE-DE-FRANCE|91 - Essonne|CA Grand Paris Sud Seine Essonne Sénart</v>
      </c>
      <c r="O249" t="str">
        <f t="shared" si="14"/>
        <v>IDF</v>
      </c>
    </row>
    <row r="250" spans="1:15" x14ac:dyDescent="0.25">
      <c r="A250" t="s">
        <v>546</v>
      </c>
      <c r="B250" t="str">
        <f t="shared" si="15"/>
        <v>Essonne</v>
      </c>
      <c r="C250" t="s">
        <v>593</v>
      </c>
      <c r="D250" t="s">
        <v>600</v>
      </c>
      <c r="E250">
        <v>200058477</v>
      </c>
      <c r="F250">
        <v>2024</v>
      </c>
      <c r="G250" t="s">
        <v>21</v>
      </c>
      <c r="H250" s="1">
        <v>11615</v>
      </c>
      <c r="I250" s="4">
        <v>17040</v>
      </c>
      <c r="J250" s="4">
        <v>22632</v>
      </c>
      <c r="K250" s="1">
        <f t="shared" si="16"/>
        <v>967.91666666666663</v>
      </c>
      <c r="L250" s="1">
        <f t="shared" si="16"/>
        <v>1420</v>
      </c>
      <c r="M250" s="1">
        <f t="shared" si="16"/>
        <v>1886</v>
      </c>
      <c r="N250" t="str">
        <f t="shared" si="13"/>
        <v>ÎLE-DE-FRANCE|91 - Essonne|CA Val d'Yerres Val de Seine</v>
      </c>
      <c r="O250" t="str">
        <f t="shared" si="14"/>
        <v>IDF</v>
      </c>
    </row>
    <row r="251" spans="1:15" x14ac:dyDescent="0.25">
      <c r="A251" t="s">
        <v>546</v>
      </c>
      <c r="B251" t="str">
        <f t="shared" si="15"/>
        <v>Essonne</v>
      </c>
      <c r="C251" t="s">
        <v>593</v>
      </c>
      <c r="D251" t="s">
        <v>588</v>
      </c>
      <c r="E251">
        <v>247800584</v>
      </c>
      <c r="F251">
        <v>2024</v>
      </c>
      <c r="G251" t="s">
        <v>21</v>
      </c>
      <c r="H251" s="1">
        <v>11615</v>
      </c>
      <c r="I251" s="4">
        <v>17040</v>
      </c>
      <c r="J251" s="4">
        <v>22632</v>
      </c>
      <c r="K251" s="1">
        <f t="shared" si="16"/>
        <v>967.91666666666663</v>
      </c>
      <c r="L251" s="1">
        <f t="shared" si="16"/>
        <v>1420</v>
      </c>
      <c r="M251" s="1">
        <f t="shared" si="16"/>
        <v>1886</v>
      </c>
      <c r="N251" t="str">
        <f t="shared" si="13"/>
        <v>ÎLE-DE-FRANCE|91 - Essonne|CA Versailles Grand Parc (CAVGP)</v>
      </c>
      <c r="O251" t="str">
        <f t="shared" si="14"/>
        <v>IDF</v>
      </c>
    </row>
    <row r="252" spans="1:15" x14ac:dyDescent="0.25">
      <c r="A252" t="s">
        <v>546</v>
      </c>
      <c r="B252" t="str">
        <f t="shared" si="15"/>
        <v>Essonne</v>
      </c>
      <c r="C252" t="s">
        <v>593</v>
      </c>
      <c r="D252" t="s">
        <v>602</v>
      </c>
      <c r="E252">
        <v>200058014</v>
      </c>
      <c r="F252">
        <v>2024</v>
      </c>
      <c r="G252" t="s">
        <v>21</v>
      </c>
      <c r="H252" s="1">
        <v>11615</v>
      </c>
      <c r="I252" s="4">
        <v>17040</v>
      </c>
      <c r="J252" s="4">
        <v>22632</v>
      </c>
      <c r="K252" s="1">
        <f t="shared" si="16"/>
        <v>967.91666666666663</v>
      </c>
      <c r="L252" s="1">
        <f t="shared" si="16"/>
        <v>1420</v>
      </c>
      <c r="M252" s="1">
        <f t="shared" si="16"/>
        <v>1886</v>
      </c>
      <c r="N252" t="str">
        <f t="shared" si="13"/>
        <v>ÎLE-DE-FRANCE|91 - Essonne|Grand-Orly Seine Bièvre</v>
      </c>
      <c r="O252" t="str">
        <f t="shared" si="14"/>
        <v>IDF</v>
      </c>
    </row>
    <row r="253" spans="1:15" x14ac:dyDescent="0.25">
      <c r="A253" t="s">
        <v>546</v>
      </c>
      <c r="B253" t="str">
        <f t="shared" si="15"/>
        <v>Hauts-de-Seine</v>
      </c>
      <c r="C253" t="s">
        <v>605</v>
      </c>
      <c r="D253" t="s">
        <v>606</v>
      </c>
      <c r="E253">
        <v>200057990</v>
      </c>
      <c r="F253">
        <v>2024</v>
      </c>
      <c r="G253" t="s">
        <v>21</v>
      </c>
      <c r="H253" s="1">
        <v>11615</v>
      </c>
      <c r="I253" s="4">
        <v>17040</v>
      </c>
      <c r="J253" s="4">
        <v>22632</v>
      </c>
      <c r="K253" s="1">
        <f t="shared" si="16"/>
        <v>967.91666666666663</v>
      </c>
      <c r="L253" s="1">
        <f t="shared" si="16"/>
        <v>1420</v>
      </c>
      <c r="M253" s="1">
        <f t="shared" si="16"/>
        <v>1886</v>
      </c>
      <c r="N253" t="str">
        <f t="shared" si="13"/>
        <v>ÎLE-DE-FRANCE|92 - Hauts-de-Seine|Boucle Nord de Seine</v>
      </c>
      <c r="O253" t="str">
        <f t="shared" si="14"/>
        <v>IDF</v>
      </c>
    </row>
    <row r="254" spans="1:15" x14ac:dyDescent="0.25">
      <c r="A254" t="s">
        <v>546</v>
      </c>
      <c r="B254" t="str">
        <f t="shared" si="15"/>
        <v>Hauts-de-Seine</v>
      </c>
      <c r="C254" t="s">
        <v>605</v>
      </c>
      <c r="D254" t="s">
        <v>608</v>
      </c>
      <c r="E254">
        <v>200057974</v>
      </c>
      <c r="F254">
        <v>2024</v>
      </c>
      <c r="G254" t="s">
        <v>21</v>
      </c>
      <c r="H254" s="1">
        <v>11615</v>
      </c>
      <c r="I254" s="4">
        <v>17040</v>
      </c>
      <c r="J254" s="4">
        <v>22632</v>
      </c>
      <c r="K254" s="1">
        <f t="shared" si="16"/>
        <v>967.91666666666663</v>
      </c>
      <c r="L254" s="1">
        <f t="shared" si="16"/>
        <v>1420</v>
      </c>
      <c r="M254" s="1">
        <f t="shared" si="16"/>
        <v>1886</v>
      </c>
      <c r="N254" t="str">
        <f t="shared" si="13"/>
        <v>ÎLE-DE-FRANCE|92 - Hauts-de-Seine|Grand Paris Seine Ouest</v>
      </c>
      <c r="O254" t="str">
        <f t="shared" si="14"/>
        <v>IDF</v>
      </c>
    </row>
    <row r="255" spans="1:15" x14ac:dyDescent="0.25">
      <c r="A255" t="s">
        <v>546</v>
      </c>
      <c r="B255" t="str">
        <f t="shared" si="15"/>
        <v>Hauts-de-Seine</v>
      </c>
      <c r="C255" t="s">
        <v>605</v>
      </c>
      <c r="D255" t="s">
        <v>610</v>
      </c>
      <c r="E255">
        <v>200057982</v>
      </c>
      <c r="F255">
        <v>2024</v>
      </c>
      <c r="G255" t="s">
        <v>21</v>
      </c>
      <c r="H255" s="1">
        <v>11615</v>
      </c>
      <c r="I255" s="4">
        <v>17040</v>
      </c>
      <c r="J255" s="4">
        <v>22632</v>
      </c>
      <c r="K255" s="1">
        <f t="shared" si="16"/>
        <v>967.91666666666663</v>
      </c>
      <c r="L255" s="1">
        <f t="shared" si="16"/>
        <v>1420</v>
      </c>
      <c r="M255" s="1">
        <f t="shared" si="16"/>
        <v>1886</v>
      </c>
      <c r="N255" t="str">
        <f t="shared" si="13"/>
        <v>ÎLE-DE-FRANCE|92 - Hauts-de-Seine|Paris Ouest La Défense</v>
      </c>
      <c r="O255" t="str">
        <f t="shared" si="14"/>
        <v>IDF</v>
      </c>
    </row>
    <row r="256" spans="1:15" x14ac:dyDescent="0.25">
      <c r="A256" t="s">
        <v>546</v>
      </c>
      <c r="B256" t="str">
        <f t="shared" si="15"/>
        <v>Hauts-de-Seine</v>
      </c>
      <c r="C256" t="s">
        <v>605</v>
      </c>
      <c r="D256" t="s">
        <v>612</v>
      </c>
      <c r="E256">
        <v>200057966</v>
      </c>
      <c r="F256">
        <v>2024</v>
      </c>
      <c r="G256" t="s">
        <v>21</v>
      </c>
      <c r="H256" s="1">
        <v>11615</v>
      </c>
      <c r="I256" s="4">
        <v>17040</v>
      </c>
      <c r="J256" s="4">
        <v>22632</v>
      </c>
      <c r="K256" s="1">
        <f t="shared" si="16"/>
        <v>967.91666666666663</v>
      </c>
      <c r="L256" s="1">
        <f t="shared" si="16"/>
        <v>1420</v>
      </c>
      <c r="M256" s="1">
        <f t="shared" si="16"/>
        <v>1886</v>
      </c>
      <c r="N256" t="str">
        <f t="shared" si="13"/>
        <v>ÎLE-DE-FRANCE|92 - Hauts-de-Seine|Vallée Sud-Grand Paris</v>
      </c>
      <c r="O256" t="str">
        <f t="shared" si="14"/>
        <v>IDF</v>
      </c>
    </row>
    <row r="257" spans="1:15" x14ac:dyDescent="0.25">
      <c r="A257" t="s">
        <v>546</v>
      </c>
      <c r="B257" t="str">
        <f t="shared" si="15"/>
        <v>Seine-Saint-Denis</v>
      </c>
      <c r="C257" t="s">
        <v>615</v>
      </c>
      <c r="D257" t="s">
        <v>616</v>
      </c>
      <c r="E257">
        <v>200057875</v>
      </c>
      <c r="F257">
        <v>2024</v>
      </c>
      <c r="G257" t="s">
        <v>21</v>
      </c>
      <c r="H257" s="1">
        <v>11615</v>
      </c>
      <c r="I257" s="4">
        <v>17040</v>
      </c>
      <c r="J257" s="4">
        <v>22632</v>
      </c>
      <c r="K257" s="1">
        <f t="shared" si="16"/>
        <v>967.91666666666663</v>
      </c>
      <c r="L257" s="1">
        <f t="shared" si="16"/>
        <v>1420</v>
      </c>
      <c r="M257" s="1">
        <f t="shared" si="16"/>
        <v>1886</v>
      </c>
      <c r="N257" t="str">
        <f t="shared" si="13"/>
        <v>ÎLE-DE-FRANCE|93 - Seine-Saint-Denis|Est Ensemble</v>
      </c>
      <c r="O257" t="str">
        <f t="shared" si="14"/>
        <v>IDF</v>
      </c>
    </row>
    <row r="258" spans="1:15" x14ac:dyDescent="0.25">
      <c r="A258" t="s">
        <v>546</v>
      </c>
      <c r="B258" t="str">
        <f t="shared" si="15"/>
        <v>Seine-Saint-Denis</v>
      </c>
      <c r="C258" t="s">
        <v>615</v>
      </c>
      <c r="D258" t="s">
        <v>618</v>
      </c>
      <c r="E258">
        <v>200058790</v>
      </c>
      <c r="F258">
        <v>2024</v>
      </c>
      <c r="G258" t="s">
        <v>21</v>
      </c>
      <c r="H258" s="1">
        <v>11615</v>
      </c>
      <c r="I258" s="4">
        <v>17040</v>
      </c>
      <c r="J258" s="4">
        <v>22632</v>
      </c>
      <c r="K258" s="1">
        <f t="shared" si="16"/>
        <v>967.91666666666663</v>
      </c>
      <c r="L258" s="1">
        <f t="shared" si="16"/>
        <v>1420</v>
      </c>
      <c r="M258" s="1">
        <f t="shared" si="16"/>
        <v>1886</v>
      </c>
      <c r="N258" t="str">
        <f t="shared" ref="N258:N321" si="17">SUBSTITUTE(
   UPPER(SUBSTITUTE(TRIM(A258), CHAR(160), " ")) &amp; "|" &amp;
   SUBSTITUTE(TRIM(C258), CHAR(160), " ") &amp; "|" &amp;
   SUBSTITUTE(TRIM(D258), CHAR(160), " "),
   "–", "-"
)</f>
        <v>ÎLE-DE-FRANCE|93 - Seine-Saint-Denis|Grand Paris Grand Est</v>
      </c>
      <c r="O258" t="str">
        <f t="shared" ref="O258:O321" si="18">IF(A258="Hauts-de-France", "HDF",
IF(A258="Île-de-France", "IDF",
IF(OR(A258="Guadeloupe", A258="Martinique", A258="Guyane", A258="La Réunion", A258="Mayotte"), "OM", "Province")))</f>
        <v>IDF</v>
      </c>
    </row>
    <row r="259" spans="1:15" x14ac:dyDescent="0.25">
      <c r="A259" t="s">
        <v>546</v>
      </c>
      <c r="B259" t="str">
        <f t="shared" ref="B259:B322" si="19">MID(C259,6,LEN(C259))</f>
        <v>Seine-Saint-Denis</v>
      </c>
      <c r="C259" t="s">
        <v>615</v>
      </c>
      <c r="D259" t="s">
        <v>620</v>
      </c>
      <c r="E259">
        <v>200058097</v>
      </c>
      <c r="F259">
        <v>2024</v>
      </c>
      <c r="G259" t="s">
        <v>21</v>
      </c>
      <c r="H259" s="1">
        <v>11615</v>
      </c>
      <c r="I259" s="4">
        <v>17040</v>
      </c>
      <c r="J259" s="4">
        <v>22632</v>
      </c>
      <c r="K259" s="1">
        <f t="shared" ref="K259:M322" si="20">H259/12</f>
        <v>967.91666666666663</v>
      </c>
      <c r="L259" s="1">
        <f t="shared" si="20"/>
        <v>1420</v>
      </c>
      <c r="M259" s="1">
        <f t="shared" si="20"/>
        <v>1886</v>
      </c>
      <c r="N259" t="str">
        <f t="shared" si="17"/>
        <v>ÎLE-DE-FRANCE|93 - Seine-Saint-Denis|Paris Terres d'Envol</v>
      </c>
      <c r="O259" t="str">
        <f t="shared" si="18"/>
        <v>IDF</v>
      </c>
    </row>
    <row r="260" spans="1:15" x14ac:dyDescent="0.25">
      <c r="A260" t="s">
        <v>546</v>
      </c>
      <c r="B260" t="str">
        <f t="shared" si="19"/>
        <v>Seine-Saint-Denis</v>
      </c>
      <c r="C260" t="s">
        <v>615</v>
      </c>
      <c r="D260" t="s">
        <v>622</v>
      </c>
      <c r="E260">
        <v>200057867</v>
      </c>
      <c r="F260">
        <v>2024</v>
      </c>
      <c r="G260" t="s">
        <v>21</v>
      </c>
      <c r="H260" s="1">
        <v>11615</v>
      </c>
      <c r="I260" s="4">
        <v>17040</v>
      </c>
      <c r="J260" s="4">
        <v>22632</v>
      </c>
      <c r="K260" s="1">
        <f t="shared" si="20"/>
        <v>967.91666666666663</v>
      </c>
      <c r="L260" s="1">
        <f t="shared" si="20"/>
        <v>1420</v>
      </c>
      <c r="M260" s="1">
        <f t="shared" si="20"/>
        <v>1886</v>
      </c>
      <c r="N260" t="str">
        <f t="shared" si="17"/>
        <v>ÎLE-DE-FRANCE|93 - Seine-Saint-Denis|Plaine Commune</v>
      </c>
      <c r="O260" t="str">
        <f t="shared" si="18"/>
        <v>IDF</v>
      </c>
    </row>
    <row r="261" spans="1:15" x14ac:dyDescent="0.25">
      <c r="A261" t="s">
        <v>546</v>
      </c>
      <c r="B261" t="str">
        <f t="shared" si="19"/>
        <v>Val-de-Marne</v>
      </c>
      <c r="C261" t="s">
        <v>625</v>
      </c>
      <c r="D261" t="s">
        <v>602</v>
      </c>
      <c r="E261">
        <v>200058014</v>
      </c>
      <c r="F261">
        <v>2024</v>
      </c>
      <c r="G261" t="s">
        <v>21</v>
      </c>
      <c r="H261" s="1">
        <v>11615</v>
      </c>
      <c r="I261" s="4">
        <v>17040</v>
      </c>
      <c r="J261" s="4">
        <v>22632</v>
      </c>
      <c r="K261" s="1">
        <f t="shared" si="20"/>
        <v>967.91666666666663</v>
      </c>
      <c r="L261" s="1">
        <f t="shared" si="20"/>
        <v>1420</v>
      </c>
      <c r="M261" s="1">
        <f t="shared" si="20"/>
        <v>1886</v>
      </c>
      <c r="N261" t="str">
        <f t="shared" si="17"/>
        <v>ÎLE-DE-FRANCE|94 - Val-de-Marne|Grand-Orly Seine Bièvre</v>
      </c>
      <c r="O261" t="str">
        <f t="shared" si="18"/>
        <v>IDF</v>
      </c>
    </row>
    <row r="262" spans="1:15" x14ac:dyDescent="0.25">
      <c r="A262" t="s">
        <v>546</v>
      </c>
      <c r="B262" t="str">
        <f t="shared" si="19"/>
        <v>Val-de-Marne</v>
      </c>
      <c r="C262" t="s">
        <v>625</v>
      </c>
      <c r="D262" t="s">
        <v>626</v>
      </c>
      <c r="E262">
        <v>200058006</v>
      </c>
      <c r="F262">
        <v>2024</v>
      </c>
      <c r="G262" t="s">
        <v>21</v>
      </c>
      <c r="H262" s="1">
        <v>11615</v>
      </c>
      <c r="I262" s="4">
        <v>17040</v>
      </c>
      <c r="J262" s="4">
        <v>22632</v>
      </c>
      <c r="K262" s="1">
        <f t="shared" si="20"/>
        <v>967.91666666666663</v>
      </c>
      <c r="L262" s="1">
        <f t="shared" si="20"/>
        <v>1420</v>
      </c>
      <c r="M262" s="1">
        <f t="shared" si="20"/>
        <v>1886</v>
      </c>
      <c r="N262" t="str">
        <f t="shared" si="17"/>
        <v>ÎLE-DE-FRANCE|94 - Val-de-Marne|Grand Paris Sud Est Avenir</v>
      </c>
      <c r="O262" t="str">
        <f t="shared" si="18"/>
        <v>IDF</v>
      </c>
    </row>
    <row r="263" spans="1:15" x14ac:dyDescent="0.25">
      <c r="A263" t="s">
        <v>546</v>
      </c>
      <c r="B263" t="str">
        <f t="shared" si="19"/>
        <v>Val-de-Marne</v>
      </c>
      <c r="C263" t="s">
        <v>625</v>
      </c>
      <c r="D263" t="s">
        <v>628</v>
      </c>
      <c r="E263">
        <v>200057941</v>
      </c>
      <c r="F263">
        <v>2024</v>
      </c>
      <c r="G263" t="s">
        <v>21</v>
      </c>
      <c r="H263" s="1">
        <v>11615</v>
      </c>
      <c r="I263" s="4">
        <v>17040</v>
      </c>
      <c r="J263" s="4">
        <v>22632</v>
      </c>
      <c r="K263" s="1">
        <f t="shared" si="20"/>
        <v>967.91666666666663</v>
      </c>
      <c r="L263" s="1">
        <f t="shared" si="20"/>
        <v>1420</v>
      </c>
      <c r="M263" s="1">
        <f t="shared" si="20"/>
        <v>1886</v>
      </c>
      <c r="N263" t="str">
        <f t="shared" si="17"/>
        <v>ÎLE-DE-FRANCE|94 - Val-de-Marne|Paris Est Marne et Bois</v>
      </c>
      <c r="O263" t="str">
        <f t="shared" si="18"/>
        <v>IDF</v>
      </c>
    </row>
    <row r="264" spans="1:15" x14ac:dyDescent="0.25">
      <c r="A264" t="s">
        <v>546</v>
      </c>
      <c r="B264" t="str">
        <f t="shared" si="19"/>
        <v>Val-d'Oise</v>
      </c>
      <c r="C264" t="s">
        <v>631</v>
      </c>
      <c r="D264" t="s">
        <v>606</v>
      </c>
      <c r="E264">
        <v>200057990</v>
      </c>
      <c r="F264">
        <v>2024</v>
      </c>
      <c r="G264" t="s">
        <v>21</v>
      </c>
      <c r="H264" s="1">
        <v>11615</v>
      </c>
      <c r="I264" s="4">
        <v>17040</v>
      </c>
      <c r="J264" s="4">
        <v>22632</v>
      </c>
      <c r="K264" s="1">
        <f t="shared" si="20"/>
        <v>967.91666666666663</v>
      </c>
      <c r="L264" s="1">
        <f t="shared" si="20"/>
        <v>1420</v>
      </c>
      <c r="M264" s="1">
        <f t="shared" si="20"/>
        <v>1886</v>
      </c>
      <c r="N264" t="str">
        <f t="shared" si="17"/>
        <v>ÎLE-DE-FRANCE|95 - Val-d'Oise|Boucle Nord de Seine</v>
      </c>
      <c r="O264" t="str">
        <f t="shared" si="18"/>
        <v>IDF</v>
      </c>
    </row>
    <row r="265" spans="1:15" x14ac:dyDescent="0.25">
      <c r="A265" t="s">
        <v>546</v>
      </c>
      <c r="B265" t="str">
        <f t="shared" si="19"/>
        <v>Val-d'Oise</v>
      </c>
      <c r="C265" t="s">
        <v>631</v>
      </c>
      <c r="D265" t="s">
        <v>580</v>
      </c>
      <c r="E265">
        <v>249500109</v>
      </c>
      <c r="F265">
        <v>2024</v>
      </c>
      <c r="G265" t="s">
        <v>21</v>
      </c>
      <c r="H265" s="1">
        <v>11615</v>
      </c>
      <c r="I265" s="4">
        <v>17040</v>
      </c>
      <c r="J265" s="4">
        <v>22632</v>
      </c>
      <c r="K265" s="1">
        <f t="shared" si="20"/>
        <v>967.91666666666663</v>
      </c>
      <c r="L265" s="1">
        <f t="shared" si="20"/>
        <v>1420</v>
      </c>
      <c r="M265" s="1">
        <f t="shared" si="20"/>
        <v>1886</v>
      </c>
      <c r="N265" t="str">
        <f t="shared" si="17"/>
        <v>ÎLE-DE-FRANCE|95 - Val-d'Oise|CA de Cergy-Pontoise</v>
      </c>
      <c r="O265" t="str">
        <f t="shared" si="18"/>
        <v>IDF</v>
      </c>
    </row>
    <row r="266" spans="1:15" x14ac:dyDescent="0.25">
      <c r="A266" t="s">
        <v>546</v>
      </c>
      <c r="B266" t="str">
        <f t="shared" si="19"/>
        <v>Val-d'Oise</v>
      </c>
      <c r="C266" t="s">
        <v>631</v>
      </c>
      <c r="D266" t="s">
        <v>632</v>
      </c>
      <c r="E266">
        <v>200056380</v>
      </c>
      <c r="F266">
        <v>2024</v>
      </c>
      <c r="G266" t="s">
        <v>21</v>
      </c>
      <c r="H266" s="1">
        <v>11615</v>
      </c>
      <c r="I266" s="4">
        <v>17040</v>
      </c>
      <c r="J266" s="4">
        <v>22632</v>
      </c>
      <c r="K266" s="1">
        <f t="shared" si="20"/>
        <v>967.91666666666663</v>
      </c>
      <c r="L266" s="1">
        <f t="shared" si="20"/>
        <v>1420</v>
      </c>
      <c r="M266" s="1">
        <f t="shared" si="20"/>
        <v>1886</v>
      </c>
      <c r="N266" t="str">
        <f t="shared" si="17"/>
        <v>ÎLE-DE-FRANCE|95 - Val-d'Oise|CA Plaine Vallée</v>
      </c>
      <c r="O266" t="str">
        <f t="shared" si="18"/>
        <v>IDF</v>
      </c>
    </row>
    <row r="267" spans="1:15" x14ac:dyDescent="0.25">
      <c r="A267" t="s">
        <v>546</v>
      </c>
      <c r="B267" t="str">
        <f t="shared" si="19"/>
        <v>Val-d'Oise</v>
      </c>
      <c r="C267" t="s">
        <v>631</v>
      </c>
      <c r="D267" t="s">
        <v>566</v>
      </c>
      <c r="E267">
        <v>200055655</v>
      </c>
      <c r="F267">
        <v>2024</v>
      </c>
      <c r="G267" t="s">
        <v>21</v>
      </c>
      <c r="H267" s="1">
        <v>11615</v>
      </c>
      <c r="I267" s="4">
        <v>17040</v>
      </c>
      <c r="J267" s="4">
        <v>22632</v>
      </c>
      <c r="K267" s="1">
        <f t="shared" si="20"/>
        <v>967.91666666666663</v>
      </c>
      <c r="L267" s="1">
        <f t="shared" si="20"/>
        <v>1420</v>
      </c>
      <c r="M267" s="1">
        <f t="shared" si="20"/>
        <v>1886</v>
      </c>
      <c r="N267" t="str">
        <f t="shared" si="17"/>
        <v>ÎLE-DE-FRANCE|95 - Val-d'Oise|CA Roissy Pays de France</v>
      </c>
      <c r="O267" t="str">
        <f t="shared" si="18"/>
        <v>IDF</v>
      </c>
    </row>
    <row r="268" spans="1:15" x14ac:dyDescent="0.25">
      <c r="A268" t="s">
        <v>546</v>
      </c>
      <c r="B268" t="str">
        <f t="shared" si="19"/>
        <v>Val-d'Oise</v>
      </c>
      <c r="C268" t="s">
        <v>631</v>
      </c>
      <c r="D268" t="s">
        <v>586</v>
      </c>
      <c r="E268">
        <v>200058519</v>
      </c>
      <c r="F268">
        <v>2024</v>
      </c>
      <c r="G268" t="s">
        <v>21</v>
      </c>
      <c r="H268" s="1">
        <v>11615</v>
      </c>
      <c r="I268" s="4">
        <v>17040</v>
      </c>
      <c r="J268" s="4">
        <v>22632</v>
      </c>
      <c r="K268" s="1">
        <f t="shared" si="20"/>
        <v>967.91666666666663</v>
      </c>
      <c r="L268" s="1">
        <f t="shared" si="20"/>
        <v>1420</v>
      </c>
      <c r="M268" s="1">
        <f t="shared" si="20"/>
        <v>1886</v>
      </c>
      <c r="N268" t="str">
        <f t="shared" si="17"/>
        <v>ÎLE-DE-FRANCE|95 - Val-d'Oise|CA Saint Germain Boucles de Seine</v>
      </c>
      <c r="O268" t="str">
        <f t="shared" si="18"/>
        <v>IDF</v>
      </c>
    </row>
    <row r="269" spans="1:15" x14ac:dyDescent="0.25">
      <c r="A269" t="s">
        <v>546</v>
      </c>
      <c r="B269" t="str">
        <f t="shared" si="19"/>
        <v>Val-d'Oise</v>
      </c>
      <c r="C269" t="s">
        <v>631</v>
      </c>
      <c r="D269" t="s">
        <v>634</v>
      </c>
      <c r="E269">
        <v>200058485</v>
      </c>
      <c r="F269">
        <v>2024</v>
      </c>
      <c r="G269" t="s">
        <v>21</v>
      </c>
      <c r="H269" s="1">
        <v>11615</v>
      </c>
      <c r="I269" s="4">
        <v>17040</v>
      </c>
      <c r="J269" s="4">
        <v>22632</v>
      </c>
      <c r="K269" s="1">
        <f t="shared" si="20"/>
        <v>967.91666666666663</v>
      </c>
      <c r="L269" s="1">
        <f t="shared" si="20"/>
        <v>1420</v>
      </c>
      <c r="M269" s="1">
        <f t="shared" si="20"/>
        <v>1886</v>
      </c>
      <c r="N269" t="str">
        <f t="shared" si="17"/>
        <v>ÎLE-DE-FRANCE|95 - Val-d'Oise|CA Val Parisis</v>
      </c>
      <c r="O269" t="str">
        <f t="shared" si="18"/>
        <v>IDF</v>
      </c>
    </row>
    <row r="270" spans="1:15" x14ac:dyDescent="0.25">
      <c r="A270" t="s">
        <v>546</v>
      </c>
      <c r="B270" t="str">
        <f t="shared" si="19"/>
        <v>Val-d'Oise</v>
      </c>
      <c r="C270" t="s">
        <v>631</v>
      </c>
      <c r="D270" t="s">
        <v>636</v>
      </c>
      <c r="E270">
        <v>249500455</v>
      </c>
      <c r="F270">
        <v>2024</v>
      </c>
      <c r="G270" t="s">
        <v>21</v>
      </c>
      <c r="H270" s="1">
        <v>11615</v>
      </c>
      <c r="I270" s="4">
        <v>17040</v>
      </c>
      <c r="J270" s="4">
        <v>22632</v>
      </c>
      <c r="K270" s="1">
        <f t="shared" si="20"/>
        <v>967.91666666666663</v>
      </c>
      <c r="L270" s="1">
        <f t="shared" si="20"/>
        <v>1420</v>
      </c>
      <c r="M270" s="1">
        <f t="shared" si="20"/>
        <v>1886</v>
      </c>
      <c r="N270" t="str">
        <f t="shared" si="17"/>
        <v>ÎLE-DE-FRANCE|95 - Val-d'Oise|CC de la Vallée de l'Oise et des Trois Forêts</v>
      </c>
      <c r="O270" t="str">
        <f t="shared" si="18"/>
        <v>IDF</v>
      </c>
    </row>
    <row r="271" spans="1:15" x14ac:dyDescent="0.25">
      <c r="A271" t="s">
        <v>546</v>
      </c>
      <c r="B271" t="str">
        <f t="shared" si="19"/>
        <v>Val-d'Oise</v>
      </c>
      <c r="C271" t="s">
        <v>631</v>
      </c>
      <c r="D271" t="s">
        <v>638</v>
      </c>
      <c r="E271">
        <v>249500489</v>
      </c>
      <c r="F271">
        <v>2024</v>
      </c>
      <c r="G271" t="s">
        <v>21</v>
      </c>
      <c r="H271" s="1">
        <v>11615</v>
      </c>
      <c r="I271" s="4">
        <v>17040</v>
      </c>
      <c r="J271" s="4">
        <v>22632</v>
      </c>
      <c r="K271" s="1">
        <f t="shared" si="20"/>
        <v>967.91666666666663</v>
      </c>
      <c r="L271" s="1">
        <f t="shared" si="20"/>
        <v>1420</v>
      </c>
      <c r="M271" s="1">
        <f t="shared" si="20"/>
        <v>1886</v>
      </c>
      <c r="N271" t="str">
        <f t="shared" si="17"/>
        <v>ÎLE-DE-FRANCE|95 - Val-d'Oise|CC du Haut Val d'Oise</v>
      </c>
      <c r="O271" t="str">
        <f t="shared" si="18"/>
        <v>IDF</v>
      </c>
    </row>
    <row r="272" spans="1:15" x14ac:dyDescent="0.25">
      <c r="A272" t="s">
        <v>640</v>
      </c>
      <c r="B272" t="str">
        <f t="shared" si="19"/>
        <v>-La Réunion</v>
      </c>
      <c r="C272" t="s">
        <v>642</v>
      </c>
      <c r="D272" t="s">
        <v>643</v>
      </c>
      <c r="E272">
        <v>249740077</v>
      </c>
      <c r="F272">
        <v>2024</v>
      </c>
      <c r="G272" t="s">
        <v>21</v>
      </c>
      <c r="H272" s="1">
        <v>6757</v>
      </c>
      <c r="I272" s="4">
        <v>10393</v>
      </c>
      <c r="J272" s="4">
        <v>14864</v>
      </c>
      <c r="K272" s="1">
        <f t="shared" si="20"/>
        <v>563.08333333333337</v>
      </c>
      <c r="L272" s="1">
        <f t="shared" si="20"/>
        <v>866.08333333333337</v>
      </c>
      <c r="M272" s="1">
        <f t="shared" si="20"/>
        <v>1238.6666666666667</v>
      </c>
      <c r="N272" t="str">
        <f t="shared" si="17"/>
        <v>LA RÉUNION|97 - -La Réunion|CA CIVIS (Communauté Intercommunale des Villes Solidaires)</v>
      </c>
      <c r="O272" t="str">
        <f t="shared" si="18"/>
        <v>OM</v>
      </c>
    </row>
    <row r="273" spans="1:15" x14ac:dyDescent="0.25">
      <c r="A273" t="s">
        <v>640</v>
      </c>
      <c r="B273" t="str">
        <f t="shared" si="19"/>
        <v>-La Réunion</v>
      </c>
      <c r="C273" t="s">
        <v>642</v>
      </c>
      <c r="D273" t="s">
        <v>645</v>
      </c>
      <c r="E273">
        <v>249740085</v>
      </c>
      <c r="F273">
        <v>2024</v>
      </c>
      <c r="G273" t="s">
        <v>21</v>
      </c>
      <c r="H273" s="1">
        <v>6648</v>
      </c>
      <c r="I273" s="4">
        <v>9893</v>
      </c>
      <c r="J273" s="4">
        <v>13848</v>
      </c>
      <c r="K273" s="1">
        <f t="shared" si="20"/>
        <v>554</v>
      </c>
      <c r="L273" s="1">
        <f t="shared" si="20"/>
        <v>824.41666666666663</v>
      </c>
      <c r="M273" s="1">
        <f t="shared" si="20"/>
        <v>1154</v>
      </c>
      <c r="N273" t="str">
        <f t="shared" si="17"/>
        <v>LA RÉUNION|97 - -La Réunion|CA du Sud</v>
      </c>
      <c r="O273" t="str">
        <f t="shared" si="18"/>
        <v>OM</v>
      </c>
    </row>
    <row r="274" spans="1:15" x14ac:dyDescent="0.25">
      <c r="A274" t="s">
        <v>640</v>
      </c>
      <c r="B274" t="str">
        <f t="shared" si="19"/>
        <v>-La Réunion</v>
      </c>
      <c r="C274" t="s">
        <v>642</v>
      </c>
      <c r="D274" t="s">
        <v>647</v>
      </c>
      <c r="E274">
        <v>249740093</v>
      </c>
      <c r="F274">
        <v>2024</v>
      </c>
      <c r="G274" t="s">
        <v>21</v>
      </c>
      <c r="H274" s="1">
        <v>6464</v>
      </c>
      <c r="I274" s="4">
        <v>9398</v>
      </c>
      <c r="J274" s="4">
        <v>13200</v>
      </c>
      <c r="K274" s="1">
        <f t="shared" si="20"/>
        <v>538.66666666666663</v>
      </c>
      <c r="L274" s="1">
        <f t="shared" si="20"/>
        <v>783.16666666666663</v>
      </c>
      <c r="M274" s="1">
        <f t="shared" si="20"/>
        <v>1100</v>
      </c>
      <c r="N274" t="str">
        <f t="shared" si="17"/>
        <v>LA RÉUNION|97 - -La Réunion|CA Intercommunale de la Réunion Est (CIREST)</v>
      </c>
      <c r="O274" t="str">
        <f t="shared" si="18"/>
        <v>OM</v>
      </c>
    </row>
    <row r="275" spans="1:15" x14ac:dyDescent="0.25">
      <c r="A275" t="s">
        <v>640</v>
      </c>
      <c r="B275" t="str">
        <f t="shared" si="19"/>
        <v>-La Réunion</v>
      </c>
      <c r="C275" t="s">
        <v>642</v>
      </c>
      <c r="D275" t="s">
        <v>649</v>
      </c>
      <c r="E275">
        <v>249740119</v>
      </c>
      <c r="F275">
        <v>2024</v>
      </c>
      <c r="G275" t="s">
        <v>21</v>
      </c>
      <c r="H275" s="1">
        <v>6996</v>
      </c>
      <c r="I275" s="4">
        <v>10763</v>
      </c>
      <c r="J275" s="4">
        <v>15688</v>
      </c>
      <c r="K275" s="1">
        <f t="shared" si="20"/>
        <v>583</v>
      </c>
      <c r="L275" s="1">
        <f t="shared" si="20"/>
        <v>896.91666666666663</v>
      </c>
      <c r="M275" s="1">
        <f t="shared" si="20"/>
        <v>1307.3333333333333</v>
      </c>
      <c r="N275" t="str">
        <f t="shared" si="17"/>
        <v>LA RÉUNION|97 - -La Réunion|CA Intercommunale du Nord de la Réunion (CINOR)</v>
      </c>
      <c r="O275" t="str">
        <f t="shared" si="18"/>
        <v>OM</v>
      </c>
    </row>
    <row r="276" spans="1:15" x14ac:dyDescent="0.25">
      <c r="A276" t="s">
        <v>640</v>
      </c>
      <c r="B276" t="str">
        <f t="shared" si="19"/>
        <v>-La Réunion</v>
      </c>
      <c r="C276" t="s">
        <v>642</v>
      </c>
      <c r="D276" t="s">
        <v>651</v>
      </c>
      <c r="E276">
        <v>249740101</v>
      </c>
      <c r="F276">
        <v>2024</v>
      </c>
      <c r="G276" t="s">
        <v>21</v>
      </c>
      <c r="H276" s="1">
        <v>7311</v>
      </c>
      <c r="I276" s="4">
        <v>11378</v>
      </c>
      <c r="J276" s="4">
        <v>16800</v>
      </c>
      <c r="K276" s="1">
        <f t="shared" si="20"/>
        <v>609.25</v>
      </c>
      <c r="L276" s="1">
        <f t="shared" si="20"/>
        <v>948.16666666666663</v>
      </c>
      <c r="M276" s="1">
        <f t="shared" si="20"/>
        <v>1400</v>
      </c>
      <c r="N276" t="str">
        <f t="shared" si="17"/>
        <v>LA RÉUNION|97 - -La Réunion|CA Territoire de la Côte Ouest (TCO)</v>
      </c>
      <c r="O276" t="str">
        <f t="shared" si="18"/>
        <v>OM</v>
      </c>
    </row>
    <row r="277" spans="1:15" x14ac:dyDescent="0.25">
      <c r="A277" t="s">
        <v>653</v>
      </c>
      <c r="B277" t="str">
        <f t="shared" si="19"/>
        <v>-Martinique</v>
      </c>
      <c r="C277" t="s">
        <v>655</v>
      </c>
      <c r="D277" t="s">
        <v>656</v>
      </c>
      <c r="E277">
        <v>249720053</v>
      </c>
      <c r="F277">
        <v>2024</v>
      </c>
      <c r="G277" t="s">
        <v>21</v>
      </c>
      <c r="H277" s="1">
        <v>7813</v>
      </c>
      <c r="I277" s="4">
        <v>12069</v>
      </c>
      <c r="J277" s="4">
        <v>17880</v>
      </c>
      <c r="K277" s="1">
        <f t="shared" si="20"/>
        <v>651.08333333333337</v>
      </c>
      <c r="L277" s="1">
        <f t="shared" si="20"/>
        <v>1005.75</v>
      </c>
      <c r="M277" s="1">
        <f t="shared" si="20"/>
        <v>1490</v>
      </c>
      <c r="N277" t="str">
        <f t="shared" si="17"/>
        <v>MARTINIQUE|97 - -Martinique|CA de l'Espace Sud de la Martinique</v>
      </c>
      <c r="O277" t="str">
        <f t="shared" si="18"/>
        <v>OM</v>
      </c>
    </row>
    <row r="278" spans="1:15" x14ac:dyDescent="0.25">
      <c r="A278" t="s">
        <v>653</v>
      </c>
      <c r="B278" t="str">
        <f t="shared" si="19"/>
        <v>-Martinique</v>
      </c>
      <c r="C278" t="s">
        <v>655</v>
      </c>
      <c r="D278" t="s">
        <v>658</v>
      </c>
      <c r="E278">
        <v>249720061</v>
      </c>
      <c r="F278">
        <v>2024</v>
      </c>
      <c r="G278" t="s">
        <v>21</v>
      </c>
      <c r="H278" s="1">
        <v>8066</v>
      </c>
      <c r="I278" s="4">
        <v>13014</v>
      </c>
      <c r="J278" s="4">
        <v>19200</v>
      </c>
      <c r="K278" s="1">
        <f t="shared" si="20"/>
        <v>672.16666666666663</v>
      </c>
      <c r="L278" s="1">
        <f t="shared" si="20"/>
        <v>1084.5</v>
      </c>
      <c r="M278" s="1">
        <f t="shared" si="20"/>
        <v>1600</v>
      </c>
      <c r="N278" t="str">
        <f t="shared" si="17"/>
        <v>MARTINIQUE|97 - -Martinique|CA du Centre de la Martinique</v>
      </c>
      <c r="O278" t="str">
        <f t="shared" si="18"/>
        <v>OM</v>
      </c>
    </row>
    <row r="279" spans="1:15" x14ac:dyDescent="0.25">
      <c r="A279" t="s">
        <v>653</v>
      </c>
      <c r="B279" t="str">
        <f t="shared" si="19"/>
        <v>-Martinique</v>
      </c>
      <c r="C279" t="s">
        <v>655</v>
      </c>
      <c r="D279" t="s">
        <v>660</v>
      </c>
      <c r="E279">
        <v>200041788</v>
      </c>
      <c r="F279">
        <v>2024</v>
      </c>
      <c r="G279" t="s">
        <v>21</v>
      </c>
      <c r="H279" s="1">
        <v>7211</v>
      </c>
      <c r="I279" s="4">
        <v>11528</v>
      </c>
      <c r="J279" s="4">
        <v>16800</v>
      </c>
      <c r="K279" s="1">
        <f t="shared" si="20"/>
        <v>600.91666666666663</v>
      </c>
      <c r="L279" s="1">
        <f t="shared" si="20"/>
        <v>960.66666666666663</v>
      </c>
      <c r="M279" s="1">
        <f t="shared" si="20"/>
        <v>1400</v>
      </c>
      <c r="N279" t="str">
        <f t="shared" si="17"/>
        <v>MARTINIQUE|97 - -Martinique|CA du Pays Nord Martinique</v>
      </c>
      <c r="O279" t="str">
        <f t="shared" si="18"/>
        <v>OM</v>
      </c>
    </row>
    <row r="280" spans="1:15" x14ac:dyDescent="0.25">
      <c r="A280" t="s">
        <v>662</v>
      </c>
      <c r="B280" t="str">
        <f t="shared" si="19"/>
        <v>-Mayotte</v>
      </c>
      <c r="C280" t="s">
        <v>664</v>
      </c>
      <c r="D280" t="s">
        <v>665</v>
      </c>
      <c r="E280">
        <v>200060457</v>
      </c>
      <c r="F280">
        <v>2024</v>
      </c>
      <c r="G280" t="s">
        <v>21</v>
      </c>
      <c r="H280" s="1">
        <v>8206</v>
      </c>
      <c r="I280" s="4">
        <v>13244</v>
      </c>
      <c r="J280" s="4">
        <v>20282</v>
      </c>
      <c r="K280" s="1">
        <f t="shared" si="20"/>
        <v>683.83333333333337</v>
      </c>
      <c r="L280" s="1">
        <f t="shared" si="20"/>
        <v>1103.6666666666667</v>
      </c>
      <c r="M280" s="1">
        <f t="shared" si="20"/>
        <v>1690.1666666666667</v>
      </c>
      <c r="N280" t="str">
        <f t="shared" si="17"/>
        <v>MAYOTTE|97 - -Mayotte|CA de Dembeni / Mamoudzou</v>
      </c>
      <c r="O280" t="str">
        <f t="shared" si="18"/>
        <v>OM</v>
      </c>
    </row>
    <row r="281" spans="1:15" x14ac:dyDescent="0.25">
      <c r="A281" t="s">
        <v>662</v>
      </c>
      <c r="B281" t="str">
        <f t="shared" si="19"/>
        <v>-Mayotte</v>
      </c>
      <c r="C281" t="s">
        <v>664</v>
      </c>
      <c r="D281" t="s">
        <v>667</v>
      </c>
      <c r="E281">
        <v>200060465</v>
      </c>
      <c r="F281">
        <v>2024</v>
      </c>
      <c r="G281" t="s">
        <v>21</v>
      </c>
      <c r="H281" s="1">
        <v>5541</v>
      </c>
      <c r="I281" s="4">
        <v>9097</v>
      </c>
      <c r="J281" s="4">
        <v>16199</v>
      </c>
      <c r="K281" s="1">
        <f t="shared" si="20"/>
        <v>461.75</v>
      </c>
      <c r="L281" s="1">
        <f t="shared" si="20"/>
        <v>758.08333333333337</v>
      </c>
      <c r="M281" s="1">
        <f t="shared" si="20"/>
        <v>1349.9166666666667</v>
      </c>
      <c r="N281" t="str">
        <f t="shared" si="17"/>
        <v>MAYOTTE|97 - -Mayotte|CA du Grand Nord de Mayotte</v>
      </c>
      <c r="O281" t="str">
        <f t="shared" si="18"/>
        <v>OM</v>
      </c>
    </row>
    <row r="282" spans="1:15" x14ac:dyDescent="0.25">
      <c r="A282" t="s">
        <v>662</v>
      </c>
      <c r="B282" t="str">
        <f t="shared" si="19"/>
        <v>-Mayotte</v>
      </c>
      <c r="C282" t="s">
        <v>664</v>
      </c>
      <c r="D282" t="s">
        <v>669</v>
      </c>
      <c r="E282">
        <v>200050532</v>
      </c>
      <c r="F282">
        <v>2024</v>
      </c>
      <c r="G282" t="s">
        <v>21</v>
      </c>
      <c r="H282" s="1">
        <v>8577</v>
      </c>
      <c r="I282" s="4">
        <v>14289</v>
      </c>
      <c r="J282" s="4">
        <v>20723</v>
      </c>
      <c r="K282" s="1">
        <f t="shared" si="20"/>
        <v>714.75</v>
      </c>
      <c r="L282" s="1">
        <f t="shared" si="20"/>
        <v>1190.75</v>
      </c>
      <c r="M282" s="1">
        <f t="shared" si="20"/>
        <v>1726.9166666666667</v>
      </c>
      <c r="N282" t="str">
        <f t="shared" si="17"/>
        <v>MAYOTTE|97 - -Mayotte|CC de Petite-Terre</v>
      </c>
      <c r="O282" t="str">
        <f t="shared" si="18"/>
        <v>OM</v>
      </c>
    </row>
    <row r="283" spans="1:15" x14ac:dyDescent="0.25">
      <c r="A283" t="s">
        <v>662</v>
      </c>
      <c r="B283" t="str">
        <f t="shared" si="19"/>
        <v>-Mayotte</v>
      </c>
      <c r="C283" t="s">
        <v>664</v>
      </c>
      <c r="D283" t="s">
        <v>671</v>
      </c>
      <c r="E283">
        <v>200059871</v>
      </c>
      <c r="F283">
        <v>2024</v>
      </c>
      <c r="G283" t="s">
        <v>21</v>
      </c>
      <c r="H283" s="1">
        <v>6848</v>
      </c>
      <c r="I283" s="4">
        <v>12427</v>
      </c>
      <c r="J283" s="4">
        <v>18480</v>
      </c>
      <c r="K283" s="1">
        <f t="shared" si="20"/>
        <v>570.66666666666663</v>
      </c>
      <c r="L283" s="1">
        <f t="shared" si="20"/>
        <v>1035.5833333333333</v>
      </c>
      <c r="M283" s="1">
        <f t="shared" si="20"/>
        <v>1540</v>
      </c>
      <c r="N283" t="str">
        <f t="shared" si="17"/>
        <v>MAYOTTE|97 - -Mayotte|CC du Centre-Ouest</v>
      </c>
      <c r="O283" t="str">
        <f t="shared" si="18"/>
        <v>OM</v>
      </c>
    </row>
    <row r="284" spans="1:15" x14ac:dyDescent="0.25">
      <c r="A284" t="s">
        <v>662</v>
      </c>
      <c r="B284" t="str">
        <f t="shared" si="19"/>
        <v>-Mayotte</v>
      </c>
      <c r="C284" t="s">
        <v>664</v>
      </c>
      <c r="D284" t="s">
        <v>673</v>
      </c>
      <c r="E284">
        <v>200060473</v>
      </c>
      <c r="F284">
        <v>2024</v>
      </c>
      <c r="G284" t="s">
        <v>21</v>
      </c>
      <c r="H284" s="1">
        <v>7243</v>
      </c>
      <c r="I284" s="4">
        <v>11333</v>
      </c>
      <c r="J284" s="4">
        <v>20460</v>
      </c>
      <c r="K284" s="1">
        <f t="shared" si="20"/>
        <v>603.58333333333337</v>
      </c>
      <c r="L284" s="1">
        <f t="shared" si="20"/>
        <v>944.41666666666663</v>
      </c>
      <c r="M284" s="1">
        <f t="shared" si="20"/>
        <v>1705</v>
      </c>
      <c r="N284" t="str">
        <f t="shared" si="17"/>
        <v>MAYOTTE|97 - -Mayotte|CC du Sud</v>
      </c>
      <c r="O284" t="str">
        <f t="shared" si="18"/>
        <v>OM</v>
      </c>
    </row>
    <row r="285" spans="1:15" x14ac:dyDescent="0.25">
      <c r="A285" t="s">
        <v>675</v>
      </c>
      <c r="B285" t="str">
        <f t="shared" si="19"/>
        <v>Calvados</v>
      </c>
      <c r="C285" t="s">
        <v>677</v>
      </c>
      <c r="D285" t="s">
        <v>678</v>
      </c>
      <c r="E285">
        <v>200069532</v>
      </c>
      <c r="F285">
        <v>2024</v>
      </c>
      <c r="G285" t="s">
        <v>21</v>
      </c>
      <c r="H285" s="1">
        <v>10008</v>
      </c>
      <c r="I285" s="4">
        <v>13816</v>
      </c>
      <c r="J285" s="4">
        <v>18480</v>
      </c>
      <c r="K285" s="1">
        <f t="shared" si="20"/>
        <v>834</v>
      </c>
      <c r="L285" s="1">
        <f t="shared" si="20"/>
        <v>1151.3333333333333</v>
      </c>
      <c r="M285" s="1">
        <f t="shared" si="20"/>
        <v>1540</v>
      </c>
      <c r="N285" t="str">
        <f t="shared" si="17"/>
        <v>NORMANDIE|14 - Calvados|CA Lisieux Normandie</v>
      </c>
      <c r="O285" t="str">
        <f t="shared" si="18"/>
        <v>Province</v>
      </c>
    </row>
    <row r="286" spans="1:15" x14ac:dyDescent="0.25">
      <c r="A286" t="s">
        <v>675</v>
      </c>
      <c r="B286" t="str">
        <f t="shared" si="19"/>
        <v>Calvados</v>
      </c>
      <c r="C286" t="s">
        <v>677</v>
      </c>
      <c r="D286" t="s">
        <v>680</v>
      </c>
      <c r="E286">
        <v>241400555</v>
      </c>
      <c r="F286">
        <v>2024</v>
      </c>
      <c r="G286" t="s">
        <v>21</v>
      </c>
      <c r="H286" s="1">
        <v>11455</v>
      </c>
      <c r="I286" s="4">
        <v>15197</v>
      </c>
      <c r="J286" s="4">
        <v>19655</v>
      </c>
      <c r="K286" s="1">
        <f t="shared" si="20"/>
        <v>954.58333333333337</v>
      </c>
      <c r="L286" s="1">
        <f t="shared" si="20"/>
        <v>1266.4166666666667</v>
      </c>
      <c r="M286" s="1">
        <f t="shared" si="20"/>
        <v>1637.9166666666667</v>
      </c>
      <c r="N286" t="str">
        <f t="shared" si="17"/>
        <v>NORMANDIE|14 - Calvados|CC de Bayeux Intercom</v>
      </c>
      <c r="O286" t="str">
        <f t="shared" si="18"/>
        <v>Province</v>
      </c>
    </row>
    <row r="287" spans="1:15" x14ac:dyDescent="0.25">
      <c r="A287" t="s">
        <v>675</v>
      </c>
      <c r="B287" t="str">
        <f t="shared" si="19"/>
        <v>Calvados</v>
      </c>
      <c r="C287" t="s">
        <v>677</v>
      </c>
      <c r="D287" t="s">
        <v>682</v>
      </c>
      <c r="E287">
        <v>200066827</v>
      </c>
      <c r="F287">
        <v>2024</v>
      </c>
      <c r="G287" t="s">
        <v>21</v>
      </c>
      <c r="H287" s="1">
        <v>10836</v>
      </c>
      <c r="I287" s="4">
        <v>14400</v>
      </c>
      <c r="J287" s="4">
        <v>19412</v>
      </c>
      <c r="K287" s="1">
        <f t="shared" si="20"/>
        <v>903</v>
      </c>
      <c r="L287" s="1">
        <f t="shared" si="20"/>
        <v>1200</v>
      </c>
      <c r="M287" s="1">
        <f t="shared" si="20"/>
        <v>1617.6666666666667</v>
      </c>
      <c r="N287" t="str">
        <f t="shared" si="17"/>
        <v>NORMANDIE|14 - Calvados|CC du Pays de Honfleur-Beuzeville</v>
      </c>
      <c r="O287" t="str">
        <f t="shared" si="18"/>
        <v>Province</v>
      </c>
    </row>
    <row r="288" spans="1:15" x14ac:dyDescent="0.25">
      <c r="A288" t="s">
        <v>675</v>
      </c>
      <c r="B288" t="str">
        <f t="shared" si="19"/>
        <v>Calvados</v>
      </c>
      <c r="C288" t="s">
        <v>677</v>
      </c>
      <c r="D288" t="s">
        <v>684</v>
      </c>
      <c r="E288">
        <v>200068799</v>
      </c>
      <c r="F288">
        <v>2024</v>
      </c>
      <c r="G288" t="s">
        <v>21</v>
      </c>
      <c r="H288" s="1">
        <v>9467</v>
      </c>
      <c r="I288" s="4">
        <v>13466</v>
      </c>
      <c r="J288" s="4">
        <v>17866</v>
      </c>
      <c r="K288" s="1">
        <f t="shared" si="20"/>
        <v>788.91666666666663</v>
      </c>
      <c r="L288" s="1">
        <f t="shared" si="20"/>
        <v>1122.1666666666667</v>
      </c>
      <c r="M288" s="1">
        <f t="shared" si="20"/>
        <v>1488.8333333333333</v>
      </c>
      <c r="N288" t="str">
        <f t="shared" si="17"/>
        <v>NORMANDIE|14 - Calvados|CC Intercom de la Vire au Noireau</v>
      </c>
      <c r="O288" t="str">
        <f t="shared" si="18"/>
        <v>Province</v>
      </c>
    </row>
    <row r="289" spans="1:15" x14ac:dyDescent="0.25">
      <c r="A289" t="s">
        <v>675</v>
      </c>
      <c r="B289" t="str">
        <f t="shared" si="19"/>
        <v>Calvados</v>
      </c>
      <c r="C289" t="s">
        <v>677</v>
      </c>
      <c r="D289" t="s">
        <v>686</v>
      </c>
      <c r="E289">
        <v>200065597</v>
      </c>
      <c r="F289">
        <v>2024</v>
      </c>
      <c r="G289" t="s">
        <v>21</v>
      </c>
      <c r="H289" s="1">
        <v>10500</v>
      </c>
      <c r="I289" s="4">
        <v>14760</v>
      </c>
      <c r="J289" s="4">
        <v>19607</v>
      </c>
      <c r="K289" s="1">
        <f t="shared" si="20"/>
        <v>875</v>
      </c>
      <c r="L289" s="1">
        <f t="shared" si="20"/>
        <v>1230</v>
      </c>
      <c r="M289" s="1">
        <f t="shared" si="20"/>
        <v>1633.9166666666667</v>
      </c>
      <c r="N289" t="str">
        <f t="shared" si="17"/>
        <v>NORMANDIE|14 - Calvados|CU Caen la Mer</v>
      </c>
      <c r="O289" t="str">
        <f t="shared" si="18"/>
        <v>Province</v>
      </c>
    </row>
    <row r="290" spans="1:15" x14ac:dyDescent="0.25">
      <c r="A290" t="s">
        <v>675</v>
      </c>
      <c r="B290" t="str">
        <f t="shared" si="19"/>
        <v>Eure</v>
      </c>
      <c r="C290" t="s">
        <v>689</v>
      </c>
      <c r="D290" t="s">
        <v>273</v>
      </c>
      <c r="E290">
        <v>200040277</v>
      </c>
      <c r="F290">
        <v>2024</v>
      </c>
      <c r="G290" t="s">
        <v>21</v>
      </c>
      <c r="H290" s="1">
        <v>8847</v>
      </c>
      <c r="I290" s="4">
        <v>13188</v>
      </c>
      <c r="J290" s="4">
        <v>18081</v>
      </c>
      <c r="K290" s="1">
        <f t="shared" si="20"/>
        <v>737.25</v>
      </c>
      <c r="L290" s="1">
        <f t="shared" si="20"/>
        <v>1099</v>
      </c>
      <c r="M290" s="1">
        <f t="shared" si="20"/>
        <v>1506.75</v>
      </c>
      <c r="N290" t="str">
        <f t="shared" si="17"/>
        <v>NORMANDIE|27 - Eure|CA Agglo du Pays de Dreux</v>
      </c>
      <c r="O290" t="str">
        <f t="shared" si="18"/>
        <v>Province</v>
      </c>
    </row>
    <row r="291" spans="1:15" x14ac:dyDescent="0.25">
      <c r="A291" t="s">
        <v>675</v>
      </c>
      <c r="B291" t="str">
        <f t="shared" si="19"/>
        <v>Eure</v>
      </c>
      <c r="C291" t="s">
        <v>689</v>
      </c>
      <c r="D291" t="s">
        <v>690</v>
      </c>
      <c r="E291">
        <v>200071454</v>
      </c>
      <c r="F291">
        <v>2024</v>
      </c>
      <c r="G291" t="s">
        <v>21</v>
      </c>
      <c r="H291" s="1">
        <v>9000</v>
      </c>
      <c r="I291" s="4">
        <v>12768</v>
      </c>
      <c r="J291" s="4">
        <v>17840</v>
      </c>
      <c r="K291" s="1">
        <f t="shared" si="20"/>
        <v>750</v>
      </c>
      <c r="L291" s="1">
        <f t="shared" si="20"/>
        <v>1064</v>
      </c>
      <c r="M291" s="1">
        <f t="shared" si="20"/>
        <v>1486.6666666666667</v>
      </c>
      <c r="N291" t="str">
        <f t="shared" si="17"/>
        <v>NORMANDIE|27 - Eure|CA Evreux Portes de Normandie</v>
      </c>
      <c r="O291" t="str">
        <f t="shared" si="18"/>
        <v>Province</v>
      </c>
    </row>
    <row r="292" spans="1:15" x14ac:dyDescent="0.25">
      <c r="A292" t="s">
        <v>675</v>
      </c>
      <c r="B292" t="str">
        <f t="shared" si="19"/>
        <v>Eure</v>
      </c>
      <c r="C292" t="s">
        <v>689</v>
      </c>
      <c r="D292" t="s">
        <v>692</v>
      </c>
      <c r="E292">
        <v>200089456</v>
      </c>
      <c r="F292">
        <v>2024</v>
      </c>
      <c r="G292" t="s">
        <v>21</v>
      </c>
      <c r="H292" s="1">
        <v>10495</v>
      </c>
      <c r="I292" s="4">
        <v>14640</v>
      </c>
      <c r="J292" s="4">
        <v>19200</v>
      </c>
      <c r="K292" s="1">
        <f t="shared" si="20"/>
        <v>874.58333333333337</v>
      </c>
      <c r="L292" s="1">
        <f t="shared" si="20"/>
        <v>1220</v>
      </c>
      <c r="M292" s="1">
        <f t="shared" si="20"/>
        <v>1600</v>
      </c>
      <c r="N292" t="str">
        <f t="shared" si="17"/>
        <v>NORMANDIE|27 - Eure|CA Seine-Eure</v>
      </c>
      <c r="O292" t="str">
        <f t="shared" si="18"/>
        <v>Province</v>
      </c>
    </row>
    <row r="293" spans="1:15" x14ac:dyDescent="0.25">
      <c r="A293" t="s">
        <v>675</v>
      </c>
      <c r="B293" t="str">
        <f t="shared" si="19"/>
        <v>Eure</v>
      </c>
      <c r="C293" t="s">
        <v>689</v>
      </c>
      <c r="D293" t="s">
        <v>694</v>
      </c>
      <c r="E293">
        <v>200072312</v>
      </c>
      <c r="F293">
        <v>2024</v>
      </c>
      <c r="G293" t="s">
        <v>21</v>
      </c>
      <c r="H293" s="1">
        <v>9740</v>
      </c>
      <c r="I293" s="4">
        <v>13717</v>
      </c>
      <c r="J293" s="4">
        <v>18552</v>
      </c>
      <c r="K293" s="1">
        <f t="shared" si="20"/>
        <v>811.66666666666663</v>
      </c>
      <c r="L293" s="1">
        <f t="shared" si="20"/>
        <v>1143.0833333333333</v>
      </c>
      <c r="M293" s="1">
        <f t="shared" si="20"/>
        <v>1546</v>
      </c>
      <c r="N293" t="str">
        <f t="shared" si="17"/>
        <v>NORMANDIE|27 - Eure|CA Seine Normandie Agglomération</v>
      </c>
      <c r="O293" t="str">
        <f t="shared" si="18"/>
        <v>Province</v>
      </c>
    </row>
    <row r="294" spans="1:15" x14ac:dyDescent="0.25">
      <c r="A294" t="s">
        <v>675</v>
      </c>
      <c r="B294" t="str">
        <f t="shared" si="19"/>
        <v>Eure</v>
      </c>
      <c r="C294" t="s">
        <v>689</v>
      </c>
      <c r="D294" t="s">
        <v>696</v>
      </c>
      <c r="E294">
        <v>200065787</v>
      </c>
      <c r="F294">
        <v>2024</v>
      </c>
      <c r="G294" t="s">
        <v>21</v>
      </c>
      <c r="H294" s="1">
        <v>10127</v>
      </c>
      <c r="I294" s="4">
        <v>13211</v>
      </c>
      <c r="J294" s="4">
        <v>17736</v>
      </c>
      <c r="K294" s="1">
        <f t="shared" si="20"/>
        <v>843.91666666666663</v>
      </c>
      <c r="L294" s="1">
        <f t="shared" si="20"/>
        <v>1100.9166666666667</v>
      </c>
      <c r="M294" s="1">
        <f t="shared" si="20"/>
        <v>1478</v>
      </c>
      <c r="N294" t="str">
        <f t="shared" si="17"/>
        <v>NORMANDIE|27 - Eure|CC de Pont-Audemer / Val de Risle</v>
      </c>
      <c r="O294" t="str">
        <f t="shared" si="18"/>
        <v>Province</v>
      </c>
    </row>
    <row r="295" spans="1:15" x14ac:dyDescent="0.25">
      <c r="A295" t="s">
        <v>675</v>
      </c>
      <c r="B295" t="str">
        <f t="shared" si="19"/>
        <v>Eure</v>
      </c>
      <c r="C295" t="s">
        <v>689</v>
      </c>
      <c r="D295" t="s">
        <v>682</v>
      </c>
      <c r="E295">
        <v>200066827</v>
      </c>
      <c r="F295">
        <v>2024</v>
      </c>
      <c r="G295" t="s">
        <v>21</v>
      </c>
      <c r="H295" s="1">
        <v>10836</v>
      </c>
      <c r="I295" s="4">
        <v>14400</v>
      </c>
      <c r="J295" s="4">
        <v>19412</v>
      </c>
      <c r="K295" s="1">
        <f t="shared" si="20"/>
        <v>903</v>
      </c>
      <c r="L295" s="1">
        <f t="shared" si="20"/>
        <v>1200</v>
      </c>
      <c r="M295" s="1">
        <f t="shared" si="20"/>
        <v>1617.6666666666667</v>
      </c>
      <c r="N295" t="str">
        <f t="shared" si="17"/>
        <v>NORMANDIE|27 - Eure|CC du Pays de Honfleur-Beuzeville</v>
      </c>
      <c r="O295" t="str">
        <f t="shared" si="18"/>
        <v>Province</v>
      </c>
    </row>
    <row r="296" spans="1:15" x14ac:dyDescent="0.25">
      <c r="A296" t="s">
        <v>675</v>
      </c>
      <c r="B296" t="str">
        <f t="shared" si="19"/>
        <v>Eure</v>
      </c>
      <c r="C296" t="s">
        <v>689</v>
      </c>
      <c r="D296" t="s">
        <v>698</v>
      </c>
      <c r="E296">
        <v>200071843</v>
      </c>
      <c r="F296">
        <v>2024</v>
      </c>
      <c r="G296" t="s">
        <v>21</v>
      </c>
      <c r="H296" s="1">
        <v>10000</v>
      </c>
      <c r="I296" s="4">
        <v>13923</v>
      </c>
      <c r="J296" s="4">
        <v>18728</v>
      </c>
      <c r="K296" s="1">
        <f t="shared" si="20"/>
        <v>833.33333333333337</v>
      </c>
      <c r="L296" s="1">
        <f t="shared" si="20"/>
        <v>1160.25</v>
      </c>
      <c r="M296" s="1">
        <f t="shared" si="20"/>
        <v>1560.6666666666667</v>
      </c>
      <c r="N296" t="str">
        <f t="shared" si="17"/>
        <v>NORMANDIE|27 - Eure|CC du Vexin Normand</v>
      </c>
      <c r="O296" t="str">
        <f t="shared" si="18"/>
        <v>Province</v>
      </c>
    </row>
    <row r="297" spans="1:15" x14ac:dyDescent="0.25">
      <c r="A297" t="s">
        <v>675</v>
      </c>
      <c r="B297" t="str">
        <f t="shared" si="19"/>
        <v>Eure</v>
      </c>
      <c r="C297" t="s">
        <v>689</v>
      </c>
      <c r="D297" t="s">
        <v>700</v>
      </c>
      <c r="E297">
        <v>200066413</v>
      </c>
      <c r="F297">
        <v>2024</v>
      </c>
      <c r="G297" t="s">
        <v>21</v>
      </c>
      <c r="H297" s="1">
        <v>8544</v>
      </c>
      <c r="I297" s="4">
        <v>12246</v>
      </c>
      <c r="J297" s="4">
        <v>17098</v>
      </c>
      <c r="K297" s="1">
        <f t="shared" si="20"/>
        <v>712</v>
      </c>
      <c r="L297" s="1">
        <f t="shared" si="20"/>
        <v>1020.5</v>
      </c>
      <c r="M297" s="1">
        <f t="shared" si="20"/>
        <v>1424.8333333333333</v>
      </c>
      <c r="N297" t="str">
        <f t="shared" si="17"/>
        <v>NORMANDIE|27 - Eure|CC Intercom Bernay Terres de Normandie</v>
      </c>
      <c r="O297" t="str">
        <f t="shared" si="18"/>
        <v>Province</v>
      </c>
    </row>
    <row r="298" spans="1:15" x14ac:dyDescent="0.25">
      <c r="A298" t="s">
        <v>675</v>
      </c>
      <c r="B298" t="str">
        <f t="shared" si="19"/>
        <v>Manche</v>
      </c>
      <c r="C298" t="s">
        <v>703</v>
      </c>
      <c r="D298" t="s">
        <v>704</v>
      </c>
      <c r="E298">
        <v>200067205</v>
      </c>
      <c r="F298">
        <v>2024</v>
      </c>
      <c r="G298" t="s">
        <v>21</v>
      </c>
      <c r="H298" s="1">
        <v>11326</v>
      </c>
      <c r="I298" s="4">
        <v>15416</v>
      </c>
      <c r="J298" s="4">
        <v>20160</v>
      </c>
      <c r="K298" s="1">
        <f t="shared" si="20"/>
        <v>943.83333333333337</v>
      </c>
      <c r="L298" s="1">
        <f t="shared" si="20"/>
        <v>1284.6666666666667</v>
      </c>
      <c r="M298" s="1">
        <f t="shared" si="20"/>
        <v>1680</v>
      </c>
      <c r="N298" t="str">
        <f t="shared" si="17"/>
        <v>NORMANDIE|50 - Manche|CA du Cotentin</v>
      </c>
      <c r="O298" t="str">
        <f t="shared" si="18"/>
        <v>Province</v>
      </c>
    </row>
    <row r="299" spans="1:15" x14ac:dyDescent="0.25">
      <c r="A299" t="s">
        <v>675</v>
      </c>
      <c r="B299" t="str">
        <f t="shared" si="19"/>
        <v>Manche</v>
      </c>
      <c r="C299" t="s">
        <v>703</v>
      </c>
      <c r="D299" t="s">
        <v>706</v>
      </c>
      <c r="E299">
        <v>200069425</v>
      </c>
      <c r="F299">
        <v>2024</v>
      </c>
      <c r="G299" t="s">
        <v>21</v>
      </c>
      <c r="H299" s="1">
        <v>10435</v>
      </c>
      <c r="I299" s="4">
        <v>13800</v>
      </c>
      <c r="J299" s="4">
        <v>18340</v>
      </c>
      <c r="K299" s="1">
        <f t="shared" si="20"/>
        <v>869.58333333333337</v>
      </c>
      <c r="L299" s="1">
        <f t="shared" si="20"/>
        <v>1150</v>
      </c>
      <c r="M299" s="1">
        <f t="shared" si="20"/>
        <v>1528.3333333333333</v>
      </c>
      <c r="N299" t="str">
        <f t="shared" si="17"/>
        <v>NORMANDIE|50 - Manche|CA Mont-Saint-Michel-Normandie</v>
      </c>
      <c r="O299" t="str">
        <f t="shared" si="18"/>
        <v>Province</v>
      </c>
    </row>
    <row r="300" spans="1:15" x14ac:dyDescent="0.25">
      <c r="A300" t="s">
        <v>675</v>
      </c>
      <c r="B300" t="str">
        <f t="shared" si="19"/>
        <v>Manche</v>
      </c>
      <c r="C300" t="s">
        <v>703</v>
      </c>
      <c r="D300" t="s">
        <v>708</v>
      </c>
      <c r="E300">
        <v>200066389</v>
      </c>
      <c r="F300">
        <v>2024</v>
      </c>
      <c r="G300" t="s">
        <v>21</v>
      </c>
      <c r="H300" s="1">
        <v>10518</v>
      </c>
      <c r="I300" s="4">
        <v>14172</v>
      </c>
      <c r="J300" s="4">
        <v>19164</v>
      </c>
      <c r="K300" s="1">
        <f t="shared" si="20"/>
        <v>876.5</v>
      </c>
      <c r="L300" s="1">
        <f t="shared" si="20"/>
        <v>1181</v>
      </c>
      <c r="M300" s="1">
        <f t="shared" si="20"/>
        <v>1597</v>
      </c>
      <c r="N300" t="str">
        <f t="shared" si="17"/>
        <v>NORMANDIE|50 - Manche|CA Saint-Lô Agglo</v>
      </c>
      <c r="O300" t="str">
        <f t="shared" si="18"/>
        <v>Province</v>
      </c>
    </row>
    <row r="301" spans="1:15" x14ac:dyDescent="0.25">
      <c r="A301" t="s">
        <v>675</v>
      </c>
      <c r="B301" t="str">
        <f t="shared" si="19"/>
        <v>Manche</v>
      </c>
      <c r="C301" t="s">
        <v>703</v>
      </c>
      <c r="D301" t="s">
        <v>710</v>
      </c>
      <c r="E301">
        <v>200067023</v>
      </c>
      <c r="F301">
        <v>2024</v>
      </c>
      <c r="G301" t="s">
        <v>21</v>
      </c>
      <c r="H301" s="1">
        <v>10560</v>
      </c>
      <c r="I301" s="4">
        <v>14169</v>
      </c>
      <c r="J301" s="4">
        <v>18660</v>
      </c>
      <c r="K301" s="1">
        <f t="shared" si="20"/>
        <v>880</v>
      </c>
      <c r="L301" s="1">
        <f t="shared" si="20"/>
        <v>1180.75</v>
      </c>
      <c r="M301" s="1">
        <f t="shared" si="20"/>
        <v>1555</v>
      </c>
      <c r="N301" t="str">
        <f t="shared" si="17"/>
        <v>NORMANDIE|50 - Manche|CC Coutances Mer et Bocage</v>
      </c>
      <c r="O301" t="str">
        <f t="shared" si="18"/>
        <v>Province</v>
      </c>
    </row>
    <row r="302" spans="1:15" x14ac:dyDescent="0.25">
      <c r="A302" t="s">
        <v>675</v>
      </c>
      <c r="B302" t="str">
        <f t="shared" si="19"/>
        <v>Manche</v>
      </c>
      <c r="C302" t="s">
        <v>703</v>
      </c>
      <c r="D302" t="s">
        <v>712</v>
      </c>
      <c r="E302">
        <v>200042604</v>
      </c>
      <c r="F302">
        <v>2024</v>
      </c>
      <c r="G302" t="s">
        <v>21</v>
      </c>
      <c r="H302" s="1">
        <v>10992</v>
      </c>
      <c r="I302" s="4">
        <v>14334</v>
      </c>
      <c r="J302" s="4">
        <v>18962</v>
      </c>
      <c r="K302" s="1">
        <f t="shared" si="20"/>
        <v>916</v>
      </c>
      <c r="L302" s="1">
        <f t="shared" si="20"/>
        <v>1194.5</v>
      </c>
      <c r="M302" s="1">
        <f t="shared" si="20"/>
        <v>1580.1666666666667</v>
      </c>
      <c r="N302" t="str">
        <f t="shared" si="17"/>
        <v>NORMANDIE|50 - Manche|CC de Granville, Terre et Mer</v>
      </c>
      <c r="O302" t="str">
        <f t="shared" si="18"/>
        <v>Province</v>
      </c>
    </row>
    <row r="303" spans="1:15" x14ac:dyDescent="0.25">
      <c r="A303" t="s">
        <v>675</v>
      </c>
      <c r="B303" t="str">
        <f t="shared" si="19"/>
        <v>Orne</v>
      </c>
      <c r="C303" t="s">
        <v>715</v>
      </c>
      <c r="D303" t="s">
        <v>716</v>
      </c>
      <c r="E303">
        <v>200035814</v>
      </c>
      <c r="F303">
        <v>2024</v>
      </c>
      <c r="G303" t="s">
        <v>21</v>
      </c>
      <c r="H303" s="1">
        <v>9028</v>
      </c>
      <c r="I303" s="4">
        <v>12636</v>
      </c>
      <c r="J303" s="4">
        <v>17430</v>
      </c>
      <c r="K303" s="1">
        <f t="shared" si="20"/>
        <v>752.33333333333337</v>
      </c>
      <c r="L303" s="1">
        <f t="shared" si="20"/>
        <v>1053</v>
      </c>
      <c r="M303" s="1">
        <f t="shared" si="20"/>
        <v>1452.5</v>
      </c>
      <c r="N303" t="str">
        <f t="shared" si="17"/>
        <v>NORMANDIE|61 - Orne|CA Flers Agglo</v>
      </c>
      <c r="O303" t="str">
        <f t="shared" si="18"/>
        <v>Province</v>
      </c>
    </row>
    <row r="304" spans="1:15" x14ac:dyDescent="0.25">
      <c r="A304" t="s">
        <v>675</v>
      </c>
      <c r="B304" t="str">
        <f t="shared" si="19"/>
        <v>Orne</v>
      </c>
      <c r="C304" t="s">
        <v>715</v>
      </c>
      <c r="D304" t="s">
        <v>718</v>
      </c>
      <c r="E304">
        <v>200068468</v>
      </c>
      <c r="F304">
        <v>2024</v>
      </c>
      <c r="G304" t="s">
        <v>21</v>
      </c>
      <c r="H304" s="1">
        <v>8377</v>
      </c>
      <c r="I304" s="4">
        <v>12702</v>
      </c>
      <c r="J304" s="4">
        <v>17083</v>
      </c>
      <c r="K304" s="1">
        <f t="shared" si="20"/>
        <v>698.08333333333337</v>
      </c>
      <c r="L304" s="1">
        <f t="shared" si="20"/>
        <v>1058.5</v>
      </c>
      <c r="M304" s="1">
        <f t="shared" si="20"/>
        <v>1423.5833333333333</v>
      </c>
      <c r="N304" t="str">
        <f t="shared" si="17"/>
        <v>NORMANDIE|61 - Orne|CC des Pays de L'Aigle</v>
      </c>
      <c r="O304" t="str">
        <f t="shared" si="18"/>
        <v>Province</v>
      </c>
    </row>
    <row r="305" spans="1:15" x14ac:dyDescent="0.25">
      <c r="A305" t="s">
        <v>675</v>
      </c>
      <c r="B305" t="str">
        <f t="shared" si="19"/>
        <v>Orne</v>
      </c>
      <c r="C305" t="s">
        <v>715</v>
      </c>
      <c r="D305" t="s">
        <v>720</v>
      </c>
      <c r="E305">
        <v>246100663</v>
      </c>
      <c r="F305">
        <v>2024</v>
      </c>
      <c r="G305" t="s">
        <v>21</v>
      </c>
      <c r="H305" s="1">
        <v>8216</v>
      </c>
      <c r="I305" s="4">
        <v>12104</v>
      </c>
      <c r="J305" s="4">
        <v>17568</v>
      </c>
      <c r="K305" s="1">
        <f t="shared" si="20"/>
        <v>684.66666666666663</v>
      </c>
      <c r="L305" s="1">
        <f t="shared" si="20"/>
        <v>1008.6666666666666</v>
      </c>
      <c r="M305" s="1">
        <f t="shared" si="20"/>
        <v>1464</v>
      </c>
      <c r="N305" t="str">
        <f t="shared" si="17"/>
        <v>NORMANDIE|61 - Orne|CU d'Alençon</v>
      </c>
      <c r="O305" t="str">
        <f t="shared" si="18"/>
        <v>Province</v>
      </c>
    </row>
    <row r="306" spans="1:15" x14ac:dyDescent="0.25">
      <c r="A306" t="s">
        <v>675</v>
      </c>
      <c r="B306" t="str">
        <f t="shared" si="19"/>
        <v>Orne</v>
      </c>
      <c r="C306" t="s">
        <v>715</v>
      </c>
      <c r="D306" t="s">
        <v>722</v>
      </c>
      <c r="E306">
        <v>200068450</v>
      </c>
      <c r="F306">
        <v>2024</v>
      </c>
      <c r="G306" t="s">
        <v>21</v>
      </c>
      <c r="H306" s="1">
        <v>8647</v>
      </c>
      <c r="I306" s="4">
        <v>12312</v>
      </c>
      <c r="J306" s="4">
        <v>17364</v>
      </c>
      <c r="K306" s="1">
        <f t="shared" si="20"/>
        <v>720.58333333333337</v>
      </c>
      <c r="L306" s="1">
        <f t="shared" si="20"/>
        <v>1026</v>
      </c>
      <c r="M306" s="1">
        <f t="shared" si="20"/>
        <v>1447</v>
      </c>
      <c r="N306" t="str">
        <f t="shared" si="17"/>
        <v>NORMANDIE|61 - Orne|Terres d'Argentan Interco</v>
      </c>
      <c r="O306" t="str">
        <f t="shared" si="18"/>
        <v>Province</v>
      </c>
    </row>
    <row r="307" spans="1:15" x14ac:dyDescent="0.25">
      <c r="A307" t="s">
        <v>675</v>
      </c>
      <c r="B307" t="str">
        <f t="shared" si="19"/>
        <v>Seine-Maritime</v>
      </c>
      <c r="C307" t="s">
        <v>725</v>
      </c>
      <c r="D307" t="s">
        <v>726</v>
      </c>
      <c r="E307">
        <v>200010700</v>
      </c>
      <c r="F307">
        <v>2024</v>
      </c>
      <c r="G307" t="s">
        <v>21</v>
      </c>
      <c r="H307" s="1">
        <v>10033</v>
      </c>
      <c r="I307" s="4">
        <v>13912</v>
      </c>
      <c r="J307" s="4">
        <v>19114</v>
      </c>
      <c r="K307" s="1">
        <f t="shared" si="20"/>
        <v>836.08333333333337</v>
      </c>
      <c r="L307" s="1">
        <f t="shared" si="20"/>
        <v>1159.3333333333333</v>
      </c>
      <c r="M307" s="1">
        <f t="shared" si="20"/>
        <v>1592.8333333333333</v>
      </c>
      <c r="N307" t="str">
        <f t="shared" si="17"/>
        <v>NORMANDIE|76 - Seine-Maritime|CA Caux Seine Agglo</v>
      </c>
      <c r="O307" t="str">
        <f t="shared" si="18"/>
        <v>Province</v>
      </c>
    </row>
    <row r="308" spans="1:15" x14ac:dyDescent="0.25">
      <c r="A308" t="s">
        <v>675</v>
      </c>
      <c r="B308" t="str">
        <f t="shared" si="19"/>
        <v>Seine-Maritime</v>
      </c>
      <c r="C308" t="s">
        <v>725</v>
      </c>
      <c r="D308" t="s">
        <v>728</v>
      </c>
      <c r="E308">
        <v>247600786</v>
      </c>
      <c r="F308">
        <v>2024</v>
      </c>
      <c r="G308" t="s">
        <v>21</v>
      </c>
      <c r="H308" s="1">
        <v>10116</v>
      </c>
      <c r="I308" s="4">
        <v>14084</v>
      </c>
      <c r="J308" s="4">
        <v>19181</v>
      </c>
      <c r="K308" s="1">
        <f t="shared" si="20"/>
        <v>843</v>
      </c>
      <c r="L308" s="1">
        <f t="shared" si="20"/>
        <v>1173.6666666666667</v>
      </c>
      <c r="M308" s="1">
        <f t="shared" si="20"/>
        <v>1598.4166666666667</v>
      </c>
      <c r="N308" t="str">
        <f t="shared" si="17"/>
        <v>NORMANDIE|76 - Seine-Maritime|CA de la Région Dieppoise</v>
      </c>
      <c r="O308" t="str">
        <f t="shared" si="18"/>
        <v>Province</v>
      </c>
    </row>
    <row r="309" spans="1:15" x14ac:dyDescent="0.25">
      <c r="A309" t="s">
        <v>675</v>
      </c>
      <c r="B309" t="str">
        <f t="shared" si="19"/>
        <v>Seine-Maritime</v>
      </c>
      <c r="C309" t="s">
        <v>725</v>
      </c>
      <c r="D309" t="s">
        <v>730</v>
      </c>
      <c r="E309">
        <v>200069821</v>
      </c>
      <c r="F309">
        <v>2024</v>
      </c>
      <c r="G309" t="s">
        <v>21</v>
      </c>
      <c r="H309" s="1">
        <v>10122</v>
      </c>
      <c r="I309" s="4">
        <v>13736</v>
      </c>
      <c r="J309" s="4">
        <v>18884</v>
      </c>
      <c r="K309" s="1">
        <f t="shared" si="20"/>
        <v>843.5</v>
      </c>
      <c r="L309" s="1">
        <f t="shared" si="20"/>
        <v>1144.6666666666667</v>
      </c>
      <c r="M309" s="1">
        <f t="shared" si="20"/>
        <v>1573.6666666666667</v>
      </c>
      <c r="N309" t="str">
        <f t="shared" si="17"/>
        <v>NORMANDIE|76 - Seine-Maritime|CA Fécamp Caux Littoral Agglomération</v>
      </c>
      <c r="O309" t="str">
        <f t="shared" si="18"/>
        <v>Province</v>
      </c>
    </row>
    <row r="310" spans="1:15" x14ac:dyDescent="0.25">
      <c r="A310" t="s">
        <v>675</v>
      </c>
      <c r="B310" t="str">
        <f t="shared" si="19"/>
        <v>Seine-Maritime</v>
      </c>
      <c r="C310" t="s">
        <v>725</v>
      </c>
      <c r="D310" t="s">
        <v>732</v>
      </c>
      <c r="E310">
        <v>247600646</v>
      </c>
      <c r="F310">
        <v>2024</v>
      </c>
      <c r="G310" t="s">
        <v>21</v>
      </c>
      <c r="H310" s="1">
        <v>11652</v>
      </c>
      <c r="I310" s="4">
        <v>16072</v>
      </c>
      <c r="J310" s="4">
        <v>20173</v>
      </c>
      <c r="K310" s="1">
        <f t="shared" si="20"/>
        <v>971</v>
      </c>
      <c r="L310" s="1">
        <f t="shared" si="20"/>
        <v>1339.3333333333333</v>
      </c>
      <c r="M310" s="1">
        <f t="shared" si="20"/>
        <v>1681.0833333333333</v>
      </c>
      <c r="N310" t="str">
        <f t="shared" si="17"/>
        <v>NORMANDIE|76 - Seine-Maritime|CC Caux - Austreberthe</v>
      </c>
      <c r="O310" t="str">
        <f t="shared" si="18"/>
        <v>Province</v>
      </c>
    </row>
    <row r="311" spans="1:15" x14ac:dyDescent="0.25">
      <c r="A311" t="s">
        <v>675</v>
      </c>
      <c r="B311" t="str">
        <f t="shared" si="19"/>
        <v>Seine-Maritime</v>
      </c>
      <c r="C311" t="s">
        <v>725</v>
      </c>
      <c r="D311" t="s">
        <v>734</v>
      </c>
      <c r="E311">
        <v>200084952</v>
      </c>
      <c r="F311">
        <v>2024</v>
      </c>
      <c r="G311" t="s">
        <v>21</v>
      </c>
      <c r="H311" s="1">
        <v>9703</v>
      </c>
      <c r="I311" s="4">
        <v>14234</v>
      </c>
      <c r="J311" s="4">
        <v>19200</v>
      </c>
      <c r="K311" s="1">
        <f t="shared" si="20"/>
        <v>808.58333333333337</v>
      </c>
      <c r="L311" s="1">
        <f t="shared" si="20"/>
        <v>1186.1666666666667</v>
      </c>
      <c r="M311" s="1">
        <f t="shared" si="20"/>
        <v>1600</v>
      </c>
      <c r="N311" t="str">
        <f t="shared" si="17"/>
        <v>NORMANDIE|76 - Seine-Maritime|Le Havre Seine Métropole</v>
      </c>
      <c r="O311" t="str">
        <f t="shared" si="18"/>
        <v>Province</v>
      </c>
    </row>
    <row r="312" spans="1:15" x14ac:dyDescent="0.25">
      <c r="A312" t="s">
        <v>675</v>
      </c>
      <c r="B312" t="str">
        <f t="shared" si="19"/>
        <v>Seine-Maritime</v>
      </c>
      <c r="C312" t="s">
        <v>725</v>
      </c>
      <c r="D312" t="s">
        <v>736</v>
      </c>
      <c r="E312">
        <v>200023414</v>
      </c>
      <c r="F312">
        <v>2024</v>
      </c>
      <c r="G312" t="s">
        <v>21</v>
      </c>
      <c r="H312" s="1">
        <v>9504</v>
      </c>
      <c r="I312" s="4">
        <v>13605</v>
      </c>
      <c r="J312" s="4">
        <v>18750</v>
      </c>
      <c r="K312" s="1">
        <f t="shared" si="20"/>
        <v>792</v>
      </c>
      <c r="L312" s="1">
        <f t="shared" si="20"/>
        <v>1133.75</v>
      </c>
      <c r="M312" s="1">
        <f t="shared" si="20"/>
        <v>1562.5</v>
      </c>
      <c r="N312" t="str">
        <f t="shared" si="17"/>
        <v>NORMANDIE|76 - Seine-Maritime|Métropole Rouen Normandie</v>
      </c>
      <c r="O312" t="str">
        <f t="shared" si="18"/>
        <v>Province</v>
      </c>
    </row>
    <row r="313" spans="1:15" x14ac:dyDescent="0.25">
      <c r="A313" t="s">
        <v>738</v>
      </c>
      <c r="B313" t="str">
        <f t="shared" si="19"/>
        <v>Charente</v>
      </c>
      <c r="C313" t="s">
        <v>740</v>
      </c>
      <c r="D313" t="s">
        <v>741</v>
      </c>
      <c r="E313">
        <v>200071827</v>
      </c>
      <c r="F313">
        <v>2024</v>
      </c>
      <c r="G313" t="s">
        <v>21</v>
      </c>
      <c r="H313" s="1">
        <v>8718</v>
      </c>
      <c r="I313" s="4">
        <v>12444</v>
      </c>
      <c r="J313" s="4">
        <v>17796</v>
      </c>
      <c r="K313" s="1">
        <f t="shared" si="20"/>
        <v>726.5</v>
      </c>
      <c r="L313" s="1">
        <f t="shared" si="20"/>
        <v>1037</v>
      </c>
      <c r="M313" s="1">
        <f t="shared" si="20"/>
        <v>1483</v>
      </c>
      <c r="N313" t="str">
        <f t="shared" si="17"/>
        <v>NOUVELLE-AQUITAINE|16 - Charente|CA du Grand Angoulême</v>
      </c>
      <c r="O313" t="str">
        <f t="shared" si="18"/>
        <v>Province</v>
      </c>
    </row>
    <row r="314" spans="1:15" x14ac:dyDescent="0.25">
      <c r="A314" t="s">
        <v>738</v>
      </c>
      <c r="B314" t="str">
        <f t="shared" si="19"/>
        <v>Charente</v>
      </c>
      <c r="C314" t="s">
        <v>740</v>
      </c>
      <c r="D314" t="s">
        <v>743</v>
      </c>
      <c r="E314">
        <v>200070514</v>
      </c>
      <c r="F314">
        <v>2024</v>
      </c>
      <c r="G314" t="s">
        <v>21</v>
      </c>
      <c r="H314" s="1">
        <v>8928</v>
      </c>
      <c r="I314" s="4">
        <v>13000</v>
      </c>
      <c r="J314" s="4">
        <v>17571</v>
      </c>
      <c r="K314" s="1">
        <f t="shared" si="20"/>
        <v>744</v>
      </c>
      <c r="L314" s="1">
        <f t="shared" si="20"/>
        <v>1083.3333333333333</v>
      </c>
      <c r="M314" s="1">
        <f t="shared" si="20"/>
        <v>1464.25</v>
      </c>
      <c r="N314" t="str">
        <f t="shared" si="17"/>
        <v>NOUVELLE-AQUITAINE|16 - Charente|CA du Grand Cognac</v>
      </c>
      <c r="O314" t="str">
        <f t="shared" si="18"/>
        <v>Province</v>
      </c>
    </row>
    <row r="315" spans="1:15" x14ac:dyDescent="0.25">
      <c r="A315" t="s">
        <v>738</v>
      </c>
      <c r="B315" t="str">
        <f t="shared" si="19"/>
        <v>Charente-Maritime</v>
      </c>
      <c r="C315" t="s">
        <v>746</v>
      </c>
      <c r="D315" t="s">
        <v>747</v>
      </c>
      <c r="E315">
        <v>241700434</v>
      </c>
      <c r="F315">
        <v>2024</v>
      </c>
      <c r="G315" t="s">
        <v>21</v>
      </c>
      <c r="H315" s="1">
        <v>11086</v>
      </c>
      <c r="I315" s="4">
        <v>15215</v>
      </c>
      <c r="J315" s="4">
        <v>20028</v>
      </c>
      <c r="K315" s="1">
        <f t="shared" si="20"/>
        <v>923.83333333333337</v>
      </c>
      <c r="L315" s="1">
        <f t="shared" si="20"/>
        <v>1267.9166666666667</v>
      </c>
      <c r="M315" s="1">
        <f t="shared" si="20"/>
        <v>1669</v>
      </c>
      <c r="N315" t="str">
        <f t="shared" si="17"/>
        <v>NOUVELLE-AQUITAINE|17 - Charente-Maritime|CA de La Rochelle</v>
      </c>
      <c r="O315" t="str">
        <f t="shared" si="18"/>
        <v>Province</v>
      </c>
    </row>
    <row r="316" spans="1:15" x14ac:dyDescent="0.25">
      <c r="A316" t="s">
        <v>738</v>
      </c>
      <c r="B316" t="str">
        <f t="shared" si="19"/>
        <v>Charente-Maritime</v>
      </c>
      <c r="C316" t="s">
        <v>746</v>
      </c>
      <c r="D316" t="s">
        <v>749</v>
      </c>
      <c r="E316">
        <v>200041762</v>
      </c>
      <c r="F316">
        <v>2024</v>
      </c>
      <c r="G316" t="s">
        <v>21</v>
      </c>
      <c r="H316" s="1">
        <v>10653</v>
      </c>
      <c r="I316" s="4">
        <v>13385</v>
      </c>
      <c r="J316" s="4">
        <v>18000</v>
      </c>
      <c r="K316" s="1">
        <f t="shared" si="20"/>
        <v>887.75</v>
      </c>
      <c r="L316" s="1">
        <f t="shared" si="20"/>
        <v>1115.4166666666667</v>
      </c>
      <c r="M316" s="1">
        <f t="shared" si="20"/>
        <v>1500</v>
      </c>
      <c r="N316" t="str">
        <f t="shared" si="17"/>
        <v>NOUVELLE-AQUITAINE|17 - Charente-Maritime|CA Rochefort Océan</v>
      </c>
      <c r="O316" t="str">
        <f t="shared" si="18"/>
        <v>Province</v>
      </c>
    </row>
    <row r="317" spans="1:15" x14ac:dyDescent="0.25">
      <c r="A317" t="s">
        <v>738</v>
      </c>
      <c r="B317" t="str">
        <f t="shared" si="19"/>
        <v>Charente-Maritime</v>
      </c>
      <c r="C317" t="s">
        <v>746</v>
      </c>
      <c r="D317" t="s">
        <v>751</v>
      </c>
      <c r="E317">
        <v>241700640</v>
      </c>
      <c r="F317">
        <v>2024</v>
      </c>
      <c r="G317" t="s">
        <v>21</v>
      </c>
      <c r="H317" s="1">
        <v>10960</v>
      </c>
      <c r="I317" s="4">
        <v>14486</v>
      </c>
      <c r="J317" s="4">
        <v>19044</v>
      </c>
      <c r="K317" s="1">
        <f t="shared" si="20"/>
        <v>913.33333333333337</v>
      </c>
      <c r="L317" s="1">
        <f t="shared" si="20"/>
        <v>1207.1666666666667</v>
      </c>
      <c r="M317" s="1">
        <f t="shared" si="20"/>
        <v>1587</v>
      </c>
      <c r="N317" t="str">
        <f t="shared" si="17"/>
        <v>NOUVELLE-AQUITAINE|17 - Charente-Maritime|CA Royan Atlantique</v>
      </c>
      <c r="O317" t="str">
        <f t="shared" si="18"/>
        <v>Province</v>
      </c>
    </row>
    <row r="318" spans="1:15" x14ac:dyDescent="0.25">
      <c r="A318" t="s">
        <v>738</v>
      </c>
      <c r="B318" t="str">
        <f t="shared" si="19"/>
        <v>Charente-Maritime</v>
      </c>
      <c r="C318" t="s">
        <v>746</v>
      </c>
      <c r="D318" t="s">
        <v>1090</v>
      </c>
      <c r="E318">
        <v>200036473</v>
      </c>
      <c r="F318">
        <v>2024</v>
      </c>
      <c r="G318" t="s">
        <v>21</v>
      </c>
      <c r="H318" s="1">
        <v>9600</v>
      </c>
      <c r="I318" s="4">
        <v>12900</v>
      </c>
      <c r="J318" s="4">
        <v>17596</v>
      </c>
      <c r="K318" s="1">
        <f t="shared" si="20"/>
        <v>800</v>
      </c>
      <c r="L318" s="1">
        <f t="shared" si="20"/>
        <v>1075</v>
      </c>
      <c r="M318" s="1">
        <f t="shared" si="20"/>
        <v>1466.3333333333333</v>
      </c>
      <c r="N318" t="str">
        <f t="shared" si="17"/>
        <v>NOUVELLE-AQUITAINE|17 - Charente-Maritime|CA "Saintes - Grandes Rives - L'Agglo"</v>
      </c>
      <c r="O318" t="str">
        <f t="shared" si="18"/>
        <v>Province</v>
      </c>
    </row>
    <row r="319" spans="1:15" x14ac:dyDescent="0.25">
      <c r="A319" t="s">
        <v>738</v>
      </c>
      <c r="B319" t="str">
        <f t="shared" si="19"/>
        <v>Corrèze</v>
      </c>
      <c r="C319" t="s">
        <v>756</v>
      </c>
      <c r="D319" t="s">
        <v>757</v>
      </c>
      <c r="E319">
        <v>200043172</v>
      </c>
      <c r="F319">
        <v>2024</v>
      </c>
      <c r="G319" t="s">
        <v>21</v>
      </c>
      <c r="H319" s="1">
        <v>9210</v>
      </c>
      <c r="I319" s="4">
        <v>12883</v>
      </c>
      <c r="J319" s="4">
        <v>17387</v>
      </c>
      <c r="K319" s="1">
        <f t="shared" si="20"/>
        <v>767.5</v>
      </c>
      <c r="L319" s="1">
        <f t="shared" si="20"/>
        <v>1073.5833333333333</v>
      </c>
      <c r="M319" s="1">
        <f t="shared" si="20"/>
        <v>1448.9166666666667</v>
      </c>
      <c r="N319" t="str">
        <f t="shared" si="17"/>
        <v>NOUVELLE-AQUITAINE|19 - Corrèze|CA du Bassin de Brive</v>
      </c>
      <c r="O319" t="str">
        <f t="shared" si="18"/>
        <v>Province</v>
      </c>
    </row>
    <row r="320" spans="1:15" x14ac:dyDescent="0.25">
      <c r="A320" t="s">
        <v>738</v>
      </c>
      <c r="B320" t="str">
        <f t="shared" si="19"/>
        <v>Corrèze</v>
      </c>
      <c r="C320" t="s">
        <v>756</v>
      </c>
      <c r="D320" t="s">
        <v>759</v>
      </c>
      <c r="E320">
        <v>241927201</v>
      </c>
      <c r="F320">
        <v>2024</v>
      </c>
      <c r="G320" t="s">
        <v>21</v>
      </c>
      <c r="H320" s="1">
        <v>8137</v>
      </c>
      <c r="I320" s="4">
        <v>11652</v>
      </c>
      <c r="J320" s="4">
        <v>16883</v>
      </c>
      <c r="K320" s="1">
        <f t="shared" si="20"/>
        <v>678.08333333333337</v>
      </c>
      <c r="L320" s="1">
        <f t="shared" si="20"/>
        <v>971</v>
      </c>
      <c r="M320" s="1">
        <f t="shared" si="20"/>
        <v>1406.9166666666667</v>
      </c>
      <c r="N320" t="str">
        <f t="shared" si="17"/>
        <v>NOUVELLE-AQUITAINE|19 - Corrèze|CA Tulle Agglo</v>
      </c>
      <c r="O320" t="str">
        <f t="shared" si="18"/>
        <v>Province</v>
      </c>
    </row>
    <row r="321" spans="1:15" x14ac:dyDescent="0.25">
      <c r="A321" t="s">
        <v>738</v>
      </c>
      <c r="B321" t="str">
        <f t="shared" si="19"/>
        <v>Creuse</v>
      </c>
      <c r="C321" t="s">
        <v>762</v>
      </c>
      <c r="D321" t="s">
        <v>763</v>
      </c>
      <c r="E321">
        <v>200034825</v>
      </c>
      <c r="F321">
        <v>2024</v>
      </c>
      <c r="G321" t="s">
        <v>21</v>
      </c>
      <c r="H321" s="1">
        <v>8005</v>
      </c>
      <c r="I321" s="4">
        <v>11652</v>
      </c>
      <c r="J321" s="4">
        <v>16773</v>
      </c>
      <c r="K321" s="1">
        <f t="shared" si="20"/>
        <v>667.08333333333337</v>
      </c>
      <c r="L321" s="1">
        <f t="shared" si="20"/>
        <v>971</v>
      </c>
      <c r="M321" s="1">
        <f t="shared" si="20"/>
        <v>1397.75</v>
      </c>
      <c r="N321" t="str">
        <f t="shared" si="17"/>
        <v>NOUVELLE-AQUITAINE|23 - Creuse|CA du Grand Guéret</v>
      </c>
      <c r="O321" t="str">
        <f t="shared" si="18"/>
        <v>Province</v>
      </c>
    </row>
    <row r="322" spans="1:15" x14ac:dyDescent="0.25">
      <c r="A322" t="s">
        <v>738</v>
      </c>
      <c r="B322" t="str">
        <f t="shared" si="19"/>
        <v>Dordogne</v>
      </c>
      <c r="C322" t="s">
        <v>766</v>
      </c>
      <c r="D322" t="s">
        <v>767</v>
      </c>
      <c r="E322">
        <v>200070647</v>
      </c>
      <c r="F322">
        <v>2024</v>
      </c>
      <c r="G322" t="s">
        <v>21</v>
      </c>
      <c r="H322" s="1">
        <v>8301</v>
      </c>
      <c r="I322" s="4">
        <v>11652</v>
      </c>
      <c r="J322" s="4">
        <v>16210</v>
      </c>
      <c r="K322" s="1">
        <f t="shared" si="20"/>
        <v>691.75</v>
      </c>
      <c r="L322" s="1">
        <f t="shared" si="20"/>
        <v>971</v>
      </c>
      <c r="M322" s="1">
        <f t="shared" si="20"/>
        <v>1350.8333333333333</v>
      </c>
      <c r="N322" t="str">
        <f t="shared" ref="N322:N385" si="21">SUBSTITUTE(
   UPPER(SUBSTITUTE(TRIM(A322), CHAR(160), " ")) &amp; "|" &amp;
   SUBSTITUTE(TRIM(C322), CHAR(160), " ") &amp; "|" &amp;
   SUBSTITUTE(TRIM(D322), CHAR(160), " "),
   "–", "-"
)</f>
        <v>NOUVELLE-AQUITAINE|24 - Dordogne|CA Bergeracoise</v>
      </c>
      <c r="O322" t="str">
        <f t="shared" ref="O322:O385" si="22">IF(A322="Hauts-de-France", "HDF",
IF(A322="Île-de-France", "IDF",
IF(OR(A322="Guadeloupe", A322="Martinique", A322="Guyane", A322="La Réunion", A322="Mayotte"), "OM", "Province")))</f>
        <v>Province</v>
      </c>
    </row>
    <row r="323" spans="1:15" x14ac:dyDescent="0.25">
      <c r="A323" t="s">
        <v>738</v>
      </c>
      <c r="B323" t="str">
        <f t="shared" ref="B323:B386" si="23">MID(C323,6,LEN(C323))</f>
        <v>Dordogne</v>
      </c>
      <c r="C323" t="s">
        <v>766</v>
      </c>
      <c r="D323" t="s">
        <v>769</v>
      </c>
      <c r="E323">
        <v>200040392</v>
      </c>
      <c r="F323">
        <v>2024</v>
      </c>
      <c r="G323" t="s">
        <v>21</v>
      </c>
      <c r="H323" s="1">
        <v>9015</v>
      </c>
      <c r="I323" s="4">
        <v>12665</v>
      </c>
      <c r="J323" s="4">
        <v>17796</v>
      </c>
      <c r="K323" s="1">
        <f t="shared" ref="K323:M386" si="24">H323/12</f>
        <v>751.25</v>
      </c>
      <c r="L323" s="1">
        <f t="shared" si="24"/>
        <v>1055.4166666666667</v>
      </c>
      <c r="M323" s="1">
        <f t="shared" si="24"/>
        <v>1483</v>
      </c>
      <c r="N323" t="str">
        <f t="shared" si="21"/>
        <v>NOUVELLE-AQUITAINE|24 - Dordogne|CA Le Grand Périgueux</v>
      </c>
      <c r="O323" t="str">
        <f t="shared" si="22"/>
        <v>Province</v>
      </c>
    </row>
    <row r="324" spans="1:15" x14ac:dyDescent="0.25">
      <c r="A324" t="s">
        <v>738</v>
      </c>
      <c r="B324" t="str">
        <f t="shared" si="23"/>
        <v>Dordogne</v>
      </c>
      <c r="C324" t="s">
        <v>766</v>
      </c>
      <c r="D324" t="s">
        <v>771</v>
      </c>
      <c r="E324">
        <v>243301371</v>
      </c>
      <c r="F324">
        <v>2024</v>
      </c>
      <c r="G324" t="s">
        <v>21</v>
      </c>
      <c r="H324" s="1">
        <v>7656</v>
      </c>
      <c r="I324" s="4">
        <v>11965</v>
      </c>
      <c r="J324" s="4">
        <v>16304</v>
      </c>
      <c r="K324" s="1">
        <f t="shared" si="24"/>
        <v>638</v>
      </c>
      <c r="L324" s="1">
        <f t="shared" si="24"/>
        <v>997.08333333333337</v>
      </c>
      <c r="M324" s="1">
        <f t="shared" si="24"/>
        <v>1358.6666666666667</v>
      </c>
      <c r="N324" t="str">
        <f t="shared" si="21"/>
        <v>NOUVELLE-AQUITAINE|24 - Dordogne|CC du Pays Foyen</v>
      </c>
      <c r="O324" t="str">
        <f t="shared" si="22"/>
        <v>Province</v>
      </c>
    </row>
    <row r="325" spans="1:15" x14ac:dyDescent="0.25">
      <c r="A325" t="s">
        <v>738</v>
      </c>
      <c r="B325" t="str">
        <f t="shared" si="23"/>
        <v>Gironde</v>
      </c>
      <c r="C325" t="s">
        <v>774</v>
      </c>
      <c r="D325" t="s">
        <v>775</v>
      </c>
      <c r="E325">
        <v>243300316</v>
      </c>
      <c r="F325">
        <v>2024</v>
      </c>
      <c r="G325" t="s">
        <v>21</v>
      </c>
      <c r="H325" s="1">
        <v>10920</v>
      </c>
      <c r="I325" s="4">
        <v>15600</v>
      </c>
      <c r="J325" s="4">
        <v>20400</v>
      </c>
      <c r="K325" s="1">
        <f t="shared" si="24"/>
        <v>910</v>
      </c>
      <c r="L325" s="1">
        <f t="shared" si="24"/>
        <v>1300</v>
      </c>
      <c r="M325" s="1">
        <f t="shared" si="24"/>
        <v>1700</v>
      </c>
      <c r="N325" t="str">
        <f t="shared" si="21"/>
        <v>NOUVELLE-AQUITAINE|33 - Gironde|Bordeaux Métropole</v>
      </c>
      <c r="O325" t="str">
        <f t="shared" si="22"/>
        <v>Province</v>
      </c>
    </row>
    <row r="326" spans="1:15" x14ac:dyDescent="0.25">
      <c r="A326" t="s">
        <v>738</v>
      </c>
      <c r="B326" t="str">
        <f t="shared" si="23"/>
        <v>Gironde</v>
      </c>
      <c r="C326" t="s">
        <v>774</v>
      </c>
      <c r="D326" t="s">
        <v>777</v>
      </c>
      <c r="E326">
        <v>243300563</v>
      </c>
      <c r="F326">
        <v>2024</v>
      </c>
      <c r="G326" t="s">
        <v>21</v>
      </c>
      <c r="H326" s="1">
        <v>11581</v>
      </c>
      <c r="I326" s="4">
        <v>16106</v>
      </c>
      <c r="J326" s="4">
        <v>20508</v>
      </c>
      <c r="K326" s="1">
        <f t="shared" si="24"/>
        <v>965.08333333333337</v>
      </c>
      <c r="L326" s="1">
        <f t="shared" si="24"/>
        <v>1342.1666666666667</v>
      </c>
      <c r="M326" s="1">
        <f t="shared" si="24"/>
        <v>1709</v>
      </c>
      <c r="N326" t="str">
        <f t="shared" si="21"/>
        <v>NOUVELLE-AQUITAINE|33 - Gironde|CA Bassin d'Arcachon Sud (COBAS)</v>
      </c>
      <c r="O326" t="str">
        <f t="shared" si="22"/>
        <v>Province</v>
      </c>
    </row>
    <row r="327" spans="1:15" x14ac:dyDescent="0.25">
      <c r="A327" t="s">
        <v>738</v>
      </c>
      <c r="B327" t="str">
        <f t="shared" si="23"/>
        <v>Gironde</v>
      </c>
      <c r="C327" t="s">
        <v>774</v>
      </c>
      <c r="D327" t="s">
        <v>779</v>
      </c>
      <c r="E327">
        <v>243301504</v>
      </c>
      <c r="F327">
        <v>2024</v>
      </c>
      <c r="G327" t="s">
        <v>21</v>
      </c>
      <c r="H327" s="1">
        <v>11792</v>
      </c>
      <c r="I327" s="4">
        <v>16099</v>
      </c>
      <c r="J327" s="4">
        <v>20252</v>
      </c>
      <c r="K327" s="1">
        <f t="shared" si="24"/>
        <v>982.66666666666663</v>
      </c>
      <c r="L327" s="1">
        <f t="shared" si="24"/>
        <v>1341.5833333333333</v>
      </c>
      <c r="M327" s="1">
        <f t="shared" si="24"/>
        <v>1687.6666666666667</v>
      </c>
      <c r="N327" t="str">
        <f t="shared" si="21"/>
        <v>NOUVELLE-AQUITAINE|33 - Gironde|CA du Bassin d'Arcachon Nord (COBAN)</v>
      </c>
      <c r="O327" t="str">
        <f t="shared" si="22"/>
        <v>Province</v>
      </c>
    </row>
    <row r="328" spans="1:15" x14ac:dyDescent="0.25">
      <c r="A328" t="s">
        <v>738</v>
      </c>
      <c r="B328" t="str">
        <f t="shared" si="23"/>
        <v>Gironde</v>
      </c>
      <c r="C328" t="s">
        <v>774</v>
      </c>
      <c r="D328" t="s">
        <v>781</v>
      </c>
      <c r="E328">
        <v>200070092</v>
      </c>
      <c r="F328">
        <v>2024</v>
      </c>
      <c r="G328" t="s">
        <v>21</v>
      </c>
      <c r="H328" s="1">
        <v>9047</v>
      </c>
      <c r="I328" s="4">
        <v>12768</v>
      </c>
      <c r="J328" s="4">
        <v>17626</v>
      </c>
      <c r="K328" s="1">
        <f t="shared" si="24"/>
        <v>753.91666666666663</v>
      </c>
      <c r="L328" s="1">
        <f t="shared" si="24"/>
        <v>1064</v>
      </c>
      <c r="M328" s="1">
        <f t="shared" si="24"/>
        <v>1468.8333333333333</v>
      </c>
      <c r="N328" t="str">
        <f t="shared" si="21"/>
        <v>NOUVELLE-AQUITAINE|33 - Gironde|CA du Libournais</v>
      </c>
      <c r="O328" t="str">
        <f t="shared" si="22"/>
        <v>Province</v>
      </c>
    </row>
    <row r="329" spans="1:15" x14ac:dyDescent="0.25">
      <c r="A329" t="s">
        <v>738</v>
      </c>
      <c r="B329" t="str">
        <f t="shared" si="23"/>
        <v>Gironde</v>
      </c>
      <c r="C329" t="s">
        <v>774</v>
      </c>
      <c r="D329" t="s">
        <v>783</v>
      </c>
      <c r="E329">
        <v>243301264</v>
      </c>
      <c r="F329">
        <v>2024</v>
      </c>
      <c r="G329" t="s">
        <v>21</v>
      </c>
      <c r="H329" s="1">
        <v>12641</v>
      </c>
      <c r="I329" s="4">
        <v>17195</v>
      </c>
      <c r="J329" s="4">
        <v>21531</v>
      </c>
      <c r="K329" s="1">
        <f t="shared" si="24"/>
        <v>1053.4166666666667</v>
      </c>
      <c r="L329" s="1">
        <f t="shared" si="24"/>
        <v>1432.9166666666667</v>
      </c>
      <c r="M329" s="1">
        <f t="shared" si="24"/>
        <v>1794.25</v>
      </c>
      <c r="N329" t="str">
        <f t="shared" si="21"/>
        <v>NOUVELLE-AQUITAINE|33 - Gironde|CC de Montesquieu</v>
      </c>
      <c r="O329" t="str">
        <f t="shared" si="22"/>
        <v>Province</v>
      </c>
    </row>
    <row r="330" spans="1:15" x14ac:dyDescent="0.25">
      <c r="A330" t="s">
        <v>738</v>
      </c>
      <c r="B330" t="str">
        <f t="shared" si="23"/>
        <v>Gironde</v>
      </c>
      <c r="C330" t="s">
        <v>774</v>
      </c>
      <c r="D330" t="s">
        <v>785</v>
      </c>
      <c r="E330">
        <v>243301223</v>
      </c>
      <c r="F330">
        <v>2024</v>
      </c>
      <c r="G330" t="s">
        <v>21</v>
      </c>
      <c r="H330" s="1">
        <v>10044</v>
      </c>
      <c r="I330" s="4">
        <v>13680</v>
      </c>
      <c r="J330" s="4">
        <v>18000</v>
      </c>
      <c r="K330" s="1">
        <f t="shared" si="24"/>
        <v>837</v>
      </c>
      <c r="L330" s="1">
        <f t="shared" si="24"/>
        <v>1140</v>
      </c>
      <c r="M330" s="1">
        <f t="shared" si="24"/>
        <v>1500</v>
      </c>
      <c r="N330" t="str">
        <f t="shared" si="21"/>
        <v>NOUVELLE-AQUITAINE|33 - Gironde|CC du Grand Cubzaguais</v>
      </c>
      <c r="O330" t="str">
        <f t="shared" si="22"/>
        <v>Province</v>
      </c>
    </row>
    <row r="331" spans="1:15" x14ac:dyDescent="0.25">
      <c r="A331" t="s">
        <v>738</v>
      </c>
      <c r="B331" t="str">
        <f t="shared" si="23"/>
        <v>Gironde</v>
      </c>
      <c r="C331" t="s">
        <v>774</v>
      </c>
      <c r="D331" t="s">
        <v>771</v>
      </c>
      <c r="E331">
        <v>243301371</v>
      </c>
      <c r="F331">
        <v>2024</v>
      </c>
      <c r="G331" t="s">
        <v>21</v>
      </c>
      <c r="H331" s="1">
        <v>7656</v>
      </c>
      <c r="I331" s="4">
        <v>11965</v>
      </c>
      <c r="J331" s="4">
        <v>16304</v>
      </c>
      <c r="K331" s="1">
        <f t="shared" si="24"/>
        <v>638</v>
      </c>
      <c r="L331" s="1">
        <f t="shared" si="24"/>
        <v>997.08333333333337</v>
      </c>
      <c r="M331" s="1">
        <f t="shared" si="24"/>
        <v>1358.6666666666667</v>
      </c>
      <c r="N331" t="str">
        <f t="shared" si="21"/>
        <v>NOUVELLE-AQUITAINE|33 - Gironde|CC du Pays Foyen</v>
      </c>
      <c r="O331" t="str">
        <f t="shared" si="22"/>
        <v>Province</v>
      </c>
    </row>
    <row r="332" spans="1:15" x14ac:dyDescent="0.25">
      <c r="A332" t="s">
        <v>738</v>
      </c>
      <c r="B332" t="str">
        <f t="shared" si="23"/>
        <v>Gironde</v>
      </c>
      <c r="C332" t="s">
        <v>774</v>
      </c>
      <c r="D332" t="s">
        <v>787</v>
      </c>
      <c r="E332">
        <v>243301165</v>
      </c>
      <c r="F332">
        <v>2024</v>
      </c>
      <c r="G332" t="s">
        <v>21</v>
      </c>
      <c r="H332" s="1">
        <v>13448</v>
      </c>
      <c r="I332" s="4">
        <v>18000</v>
      </c>
      <c r="J332" s="4">
        <v>21621</v>
      </c>
      <c r="K332" s="1">
        <f t="shared" si="24"/>
        <v>1120.6666666666667</v>
      </c>
      <c r="L332" s="1">
        <f t="shared" si="24"/>
        <v>1500</v>
      </c>
      <c r="M332" s="1">
        <f t="shared" si="24"/>
        <v>1801.75</v>
      </c>
      <c r="N332" t="str">
        <f t="shared" si="21"/>
        <v>NOUVELLE-AQUITAINE|33 - Gironde|CC Jalle-Eau-Bourde</v>
      </c>
      <c r="O332" t="str">
        <f t="shared" si="22"/>
        <v>Province</v>
      </c>
    </row>
    <row r="333" spans="1:15" x14ac:dyDescent="0.25">
      <c r="A333" t="s">
        <v>738</v>
      </c>
      <c r="B333" t="str">
        <f t="shared" si="23"/>
        <v>Landes</v>
      </c>
      <c r="C333" t="s">
        <v>790</v>
      </c>
      <c r="D333" t="s">
        <v>791</v>
      </c>
      <c r="E333">
        <v>244000675</v>
      </c>
      <c r="F333">
        <v>2024</v>
      </c>
      <c r="G333" t="s">
        <v>21</v>
      </c>
      <c r="H333" s="1">
        <v>9756</v>
      </c>
      <c r="I333" s="4">
        <v>13395</v>
      </c>
      <c r="J333" s="4">
        <v>18180</v>
      </c>
      <c r="K333" s="1">
        <f t="shared" si="24"/>
        <v>813</v>
      </c>
      <c r="L333" s="1">
        <f t="shared" si="24"/>
        <v>1116.25</v>
      </c>
      <c r="M333" s="1">
        <f t="shared" si="24"/>
        <v>1515</v>
      </c>
      <c r="N333" t="str">
        <f t="shared" si="21"/>
        <v>NOUVELLE-AQUITAINE|40 - Landes|CA du Grand Dax</v>
      </c>
      <c r="O333" t="str">
        <f t="shared" si="22"/>
        <v>Province</v>
      </c>
    </row>
    <row r="334" spans="1:15" x14ac:dyDescent="0.25">
      <c r="A334" t="s">
        <v>738</v>
      </c>
      <c r="B334" t="str">
        <f t="shared" si="23"/>
        <v>Landes</v>
      </c>
      <c r="C334" t="s">
        <v>790</v>
      </c>
      <c r="D334" t="s">
        <v>793</v>
      </c>
      <c r="E334">
        <v>244000808</v>
      </c>
      <c r="F334">
        <v>2024</v>
      </c>
      <c r="G334" t="s">
        <v>21</v>
      </c>
      <c r="H334" s="1">
        <v>9104</v>
      </c>
      <c r="I334" s="4">
        <v>12581</v>
      </c>
      <c r="J334" s="4">
        <v>17502</v>
      </c>
      <c r="K334" s="1">
        <f t="shared" si="24"/>
        <v>758.66666666666663</v>
      </c>
      <c r="L334" s="1">
        <f t="shared" si="24"/>
        <v>1048.4166666666667</v>
      </c>
      <c r="M334" s="1">
        <f t="shared" si="24"/>
        <v>1458.5</v>
      </c>
      <c r="N334" t="str">
        <f t="shared" si="21"/>
        <v>NOUVELLE-AQUITAINE|40 - Landes|CA Mont de Marsan Agglomération</v>
      </c>
      <c r="O334" t="str">
        <f t="shared" si="22"/>
        <v>Province</v>
      </c>
    </row>
    <row r="335" spans="1:15" x14ac:dyDescent="0.25">
      <c r="A335" t="s">
        <v>738</v>
      </c>
      <c r="B335" t="str">
        <f t="shared" si="23"/>
        <v>Landes</v>
      </c>
      <c r="C335" t="s">
        <v>790</v>
      </c>
      <c r="D335" t="s">
        <v>795</v>
      </c>
      <c r="E335">
        <v>244000873</v>
      </c>
      <c r="F335">
        <v>2024</v>
      </c>
      <c r="G335" t="s">
        <v>21</v>
      </c>
      <c r="H335" s="1">
        <v>10995</v>
      </c>
      <c r="I335" s="4">
        <v>15156</v>
      </c>
      <c r="J335" s="4">
        <v>18936</v>
      </c>
      <c r="K335" s="1">
        <f t="shared" si="24"/>
        <v>916.25</v>
      </c>
      <c r="L335" s="1">
        <f t="shared" si="24"/>
        <v>1263</v>
      </c>
      <c r="M335" s="1">
        <f t="shared" si="24"/>
        <v>1578</v>
      </c>
      <c r="N335" t="str">
        <f t="shared" si="21"/>
        <v>NOUVELLE-AQUITAINE|40 - Landes|CC des Grands Lacs</v>
      </c>
      <c r="O335" t="str">
        <f t="shared" si="22"/>
        <v>Province</v>
      </c>
    </row>
    <row r="336" spans="1:15" x14ac:dyDescent="0.25">
      <c r="A336" t="s">
        <v>738</v>
      </c>
      <c r="B336" t="str">
        <f t="shared" si="23"/>
        <v>Lot-et-Garonne</v>
      </c>
      <c r="C336" t="s">
        <v>798</v>
      </c>
      <c r="D336" t="s">
        <v>799</v>
      </c>
      <c r="E336">
        <v>200096956</v>
      </c>
      <c r="F336">
        <v>2024</v>
      </c>
      <c r="G336" t="s">
        <v>21</v>
      </c>
      <c r="H336" s="1">
        <v>9125</v>
      </c>
      <c r="I336" s="4">
        <v>12600</v>
      </c>
      <c r="J336" s="4">
        <v>18000</v>
      </c>
      <c r="K336" s="1">
        <f t="shared" si="24"/>
        <v>760.41666666666663</v>
      </c>
      <c r="L336" s="1">
        <f t="shared" si="24"/>
        <v>1050</v>
      </c>
      <c r="M336" s="1">
        <f t="shared" si="24"/>
        <v>1500</v>
      </c>
      <c r="N336" t="str">
        <f t="shared" si="21"/>
        <v>NOUVELLE-AQUITAINE|47 - Lot-et-Garonne|CA Agglomération d'Agen</v>
      </c>
      <c r="O336" t="str">
        <f t="shared" si="22"/>
        <v>Province</v>
      </c>
    </row>
    <row r="337" spans="1:15" x14ac:dyDescent="0.25">
      <c r="A337" t="s">
        <v>738</v>
      </c>
      <c r="B337" t="str">
        <f t="shared" si="23"/>
        <v>Lot-et-Garonne</v>
      </c>
      <c r="C337" t="s">
        <v>798</v>
      </c>
      <c r="D337" t="s">
        <v>801</v>
      </c>
      <c r="E337">
        <v>200023307</v>
      </c>
      <c r="F337">
        <v>2024</v>
      </c>
      <c r="G337" t="s">
        <v>21</v>
      </c>
      <c r="H337" s="1">
        <v>8388</v>
      </c>
      <c r="I337" s="4">
        <v>11652</v>
      </c>
      <c r="J337" s="4">
        <v>15594</v>
      </c>
      <c r="K337" s="1">
        <f t="shared" si="24"/>
        <v>699</v>
      </c>
      <c r="L337" s="1">
        <f t="shared" si="24"/>
        <v>971</v>
      </c>
      <c r="M337" s="1">
        <f t="shared" si="24"/>
        <v>1299.5</v>
      </c>
      <c r="N337" t="str">
        <f t="shared" si="21"/>
        <v>NOUVELLE-AQUITAINE|47 - Lot-et-Garonne|CA du Grand Villeneuvois</v>
      </c>
      <c r="O337" t="str">
        <f t="shared" si="22"/>
        <v>Province</v>
      </c>
    </row>
    <row r="338" spans="1:15" x14ac:dyDescent="0.25">
      <c r="A338" t="s">
        <v>738</v>
      </c>
      <c r="B338" t="str">
        <f t="shared" si="23"/>
        <v>Lot-et-Garonne</v>
      </c>
      <c r="C338" t="s">
        <v>798</v>
      </c>
      <c r="D338" t="s">
        <v>803</v>
      </c>
      <c r="E338">
        <v>200030674</v>
      </c>
      <c r="F338">
        <v>2024</v>
      </c>
      <c r="G338" t="s">
        <v>21</v>
      </c>
      <c r="H338" s="1">
        <v>8097</v>
      </c>
      <c r="I338" s="4">
        <v>11652</v>
      </c>
      <c r="J338" s="4">
        <v>16206</v>
      </c>
      <c r="K338" s="1">
        <f t="shared" si="24"/>
        <v>674.75</v>
      </c>
      <c r="L338" s="1">
        <f t="shared" si="24"/>
        <v>971</v>
      </c>
      <c r="M338" s="1">
        <f t="shared" si="24"/>
        <v>1350.5</v>
      </c>
      <c r="N338" t="str">
        <f t="shared" si="21"/>
        <v>NOUVELLE-AQUITAINE|47 - Lot-et-Garonne|CA Val de Garonne Agglomération</v>
      </c>
      <c r="O338" t="str">
        <f t="shared" si="22"/>
        <v>Province</v>
      </c>
    </row>
    <row r="339" spans="1:15" x14ac:dyDescent="0.25">
      <c r="A339" t="s">
        <v>738</v>
      </c>
      <c r="B339" t="str">
        <f t="shared" si="23"/>
        <v>Pyrénées-Atlantiques</v>
      </c>
      <c r="C339" t="s">
        <v>806</v>
      </c>
      <c r="D339" t="s">
        <v>807</v>
      </c>
      <c r="E339">
        <v>200067106</v>
      </c>
      <c r="F339">
        <v>2024</v>
      </c>
      <c r="G339" t="s">
        <v>21</v>
      </c>
      <c r="H339" s="1">
        <v>11316</v>
      </c>
      <c r="I339" s="4">
        <v>15358</v>
      </c>
      <c r="J339" s="4">
        <v>20052</v>
      </c>
      <c r="K339" s="1">
        <f t="shared" si="24"/>
        <v>943</v>
      </c>
      <c r="L339" s="1">
        <f t="shared" si="24"/>
        <v>1279.8333333333333</v>
      </c>
      <c r="M339" s="1">
        <f t="shared" si="24"/>
        <v>1671</v>
      </c>
      <c r="N339" t="str">
        <f t="shared" si="21"/>
        <v>NOUVELLE-AQUITAINE|64 - Pyrénées-Atlantiques|CA du Pays Basque</v>
      </c>
      <c r="O339" t="str">
        <f t="shared" si="22"/>
        <v>Province</v>
      </c>
    </row>
    <row r="340" spans="1:15" x14ac:dyDescent="0.25">
      <c r="A340" t="s">
        <v>738</v>
      </c>
      <c r="B340" t="str">
        <f t="shared" si="23"/>
        <v>Pyrénées-Atlantiques</v>
      </c>
      <c r="C340" t="s">
        <v>806</v>
      </c>
      <c r="D340" t="s">
        <v>809</v>
      </c>
      <c r="E340">
        <v>200067254</v>
      </c>
      <c r="F340">
        <v>2024</v>
      </c>
      <c r="G340" t="s">
        <v>21</v>
      </c>
      <c r="H340" s="1">
        <v>9228</v>
      </c>
      <c r="I340" s="4">
        <v>12960</v>
      </c>
      <c r="J340" s="4">
        <v>18000</v>
      </c>
      <c r="K340" s="1">
        <f t="shared" si="24"/>
        <v>769</v>
      </c>
      <c r="L340" s="1">
        <f t="shared" si="24"/>
        <v>1080</v>
      </c>
      <c r="M340" s="1">
        <f t="shared" si="24"/>
        <v>1500</v>
      </c>
      <c r="N340" t="str">
        <f t="shared" si="21"/>
        <v>NOUVELLE-AQUITAINE|64 - Pyrénées-Atlantiques|CA Pau Béarn Pyrénées</v>
      </c>
      <c r="O340" t="str">
        <f t="shared" si="22"/>
        <v>Province</v>
      </c>
    </row>
    <row r="341" spans="1:15" x14ac:dyDescent="0.25">
      <c r="A341" t="s">
        <v>738</v>
      </c>
      <c r="B341" t="str">
        <f t="shared" si="23"/>
        <v>Pyrénées-Atlantiques</v>
      </c>
      <c r="C341" t="s">
        <v>806</v>
      </c>
      <c r="D341" t="s">
        <v>811</v>
      </c>
      <c r="E341">
        <v>200039204</v>
      </c>
      <c r="F341">
        <v>2024</v>
      </c>
      <c r="G341" t="s">
        <v>21</v>
      </c>
      <c r="H341" s="1">
        <v>9257</v>
      </c>
      <c r="I341" s="4">
        <v>12525</v>
      </c>
      <c r="J341" s="4">
        <v>17357</v>
      </c>
      <c r="K341" s="1">
        <f t="shared" si="24"/>
        <v>771.41666666666663</v>
      </c>
      <c r="L341" s="1">
        <f t="shared" si="24"/>
        <v>1043.75</v>
      </c>
      <c r="M341" s="1">
        <f t="shared" si="24"/>
        <v>1446.4166666666667</v>
      </c>
      <c r="N341" t="str">
        <f t="shared" si="21"/>
        <v>NOUVELLE-AQUITAINE|64 - Pyrénées-Atlantiques|CC de Lacq-Orthez</v>
      </c>
      <c r="O341" t="str">
        <f t="shared" si="22"/>
        <v>Province</v>
      </c>
    </row>
    <row r="342" spans="1:15" x14ac:dyDescent="0.25">
      <c r="A342" t="s">
        <v>738</v>
      </c>
      <c r="B342" t="str">
        <f t="shared" si="23"/>
        <v>Pyrénées-Atlantiques</v>
      </c>
      <c r="C342" t="s">
        <v>806</v>
      </c>
      <c r="D342" t="s">
        <v>813</v>
      </c>
      <c r="E342">
        <v>200067262</v>
      </c>
      <c r="F342">
        <v>2024</v>
      </c>
      <c r="G342" t="s">
        <v>21</v>
      </c>
      <c r="H342" s="1">
        <v>8148</v>
      </c>
      <c r="I342" s="4">
        <v>11592</v>
      </c>
      <c r="J342" s="4">
        <v>16231</v>
      </c>
      <c r="K342" s="1">
        <f t="shared" si="24"/>
        <v>679</v>
      </c>
      <c r="L342" s="1">
        <f t="shared" si="24"/>
        <v>966</v>
      </c>
      <c r="M342" s="1">
        <f t="shared" si="24"/>
        <v>1352.5833333333333</v>
      </c>
      <c r="N342" t="str">
        <f t="shared" si="21"/>
        <v>NOUVELLE-AQUITAINE|64 - Pyrénées-Atlantiques|CC du Haut Béarn</v>
      </c>
      <c r="O342" t="str">
        <f t="shared" si="22"/>
        <v>Province</v>
      </c>
    </row>
    <row r="343" spans="1:15" x14ac:dyDescent="0.25">
      <c r="A343" t="s">
        <v>738</v>
      </c>
      <c r="B343" t="str">
        <f t="shared" si="23"/>
        <v>Deux-Sèvres</v>
      </c>
      <c r="C343" t="s">
        <v>816</v>
      </c>
      <c r="D343" t="s">
        <v>817</v>
      </c>
      <c r="E343">
        <v>200040244</v>
      </c>
      <c r="F343">
        <v>2024</v>
      </c>
      <c r="G343" t="s">
        <v>21</v>
      </c>
      <c r="H343" s="1">
        <v>10563</v>
      </c>
      <c r="I343" s="4">
        <v>13638</v>
      </c>
      <c r="J343" s="4">
        <v>18042</v>
      </c>
      <c r="K343" s="1">
        <f t="shared" si="24"/>
        <v>880.25</v>
      </c>
      <c r="L343" s="1">
        <f t="shared" si="24"/>
        <v>1136.5</v>
      </c>
      <c r="M343" s="1">
        <f t="shared" si="24"/>
        <v>1503.5</v>
      </c>
      <c r="N343" t="str">
        <f t="shared" si="21"/>
        <v>NOUVELLE-AQUITAINE|79 - Deux-Sèvres|CA du Bocage Bressuirais</v>
      </c>
      <c r="O343" t="str">
        <f t="shared" si="22"/>
        <v>Province</v>
      </c>
    </row>
    <row r="344" spans="1:15" x14ac:dyDescent="0.25">
      <c r="A344" t="s">
        <v>738</v>
      </c>
      <c r="B344" t="str">
        <f t="shared" si="23"/>
        <v>Deux-Sèvres</v>
      </c>
      <c r="C344" t="s">
        <v>816</v>
      </c>
      <c r="D344" t="s">
        <v>819</v>
      </c>
      <c r="E344">
        <v>200041317</v>
      </c>
      <c r="F344">
        <v>2024</v>
      </c>
      <c r="G344" t="s">
        <v>21</v>
      </c>
      <c r="H344" s="1">
        <v>9862</v>
      </c>
      <c r="I344" s="4">
        <v>13832</v>
      </c>
      <c r="J344" s="4">
        <v>18696</v>
      </c>
      <c r="K344" s="1">
        <f t="shared" si="24"/>
        <v>821.83333333333337</v>
      </c>
      <c r="L344" s="1">
        <f t="shared" si="24"/>
        <v>1152.6666666666667</v>
      </c>
      <c r="M344" s="1">
        <f t="shared" si="24"/>
        <v>1558</v>
      </c>
      <c r="N344" t="str">
        <f t="shared" si="21"/>
        <v>NOUVELLE-AQUITAINE|79 - Deux-Sèvres|CA du Niortais</v>
      </c>
      <c r="O344" t="str">
        <f t="shared" si="22"/>
        <v>Province</v>
      </c>
    </row>
    <row r="345" spans="1:15" x14ac:dyDescent="0.25">
      <c r="A345" t="s">
        <v>738</v>
      </c>
      <c r="B345" t="str">
        <f t="shared" si="23"/>
        <v>Deux-Sèvres</v>
      </c>
      <c r="C345" t="s">
        <v>816</v>
      </c>
      <c r="D345" t="s">
        <v>821</v>
      </c>
      <c r="E345">
        <v>200041333</v>
      </c>
      <c r="F345">
        <v>2024</v>
      </c>
      <c r="G345" t="s">
        <v>21</v>
      </c>
      <c r="H345" s="1">
        <v>9433</v>
      </c>
      <c r="I345" s="4">
        <v>12492</v>
      </c>
      <c r="J345" s="4">
        <v>16800</v>
      </c>
      <c r="K345" s="1">
        <f t="shared" si="24"/>
        <v>786.08333333333337</v>
      </c>
      <c r="L345" s="1">
        <f t="shared" si="24"/>
        <v>1041</v>
      </c>
      <c r="M345" s="1">
        <f t="shared" si="24"/>
        <v>1400</v>
      </c>
      <c r="N345" t="str">
        <f t="shared" si="21"/>
        <v>NOUVELLE-AQUITAINE|79 - Deux-Sèvres|CC de Parthenay-Gâtine</v>
      </c>
      <c r="O345" t="str">
        <f t="shared" si="22"/>
        <v>Province</v>
      </c>
    </row>
    <row r="346" spans="1:15" x14ac:dyDescent="0.25">
      <c r="A346" t="s">
        <v>738</v>
      </c>
      <c r="B346" t="str">
        <f t="shared" si="23"/>
        <v>Deux-Sèvres</v>
      </c>
      <c r="C346" t="s">
        <v>816</v>
      </c>
      <c r="D346" t="s">
        <v>823</v>
      </c>
      <c r="E346">
        <v>247900798</v>
      </c>
      <c r="F346">
        <v>2024</v>
      </c>
      <c r="G346" t="s">
        <v>21</v>
      </c>
      <c r="H346" s="1">
        <v>8261</v>
      </c>
      <c r="I346" s="4">
        <v>11652</v>
      </c>
      <c r="J346" s="4">
        <v>15840</v>
      </c>
      <c r="K346" s="1">
        <f t="shared" si="24"/>
        <v>688.41666666666663</v>
      </c>
      <c r="L346" s="1">
        <f t="shared" si="24"/>
        <v>971</v>
      </c>
      <c r="M346" s="1">
        <f t="shared" si="24"/>
        <v>1320</v>
      </c>
      <c r="N346" t="str">
        <f t="shared" si="21"/>
        <v>NOUVELLE-AQUITAINE|79 - Deux-Sèvres|CC du Thouarsais</v>
      </c>
      <c r="O346" t="str">
        <f t="shared" si="22"/>
        <v>Province</v>
      </c>
    </row>
    <row r="347" spans="1:15" x14ac:dyDescent="0.25">
      <c r="A347" t="s">
        <v>738</v>
      </c>
      <c r="B347" t="str">
        <f t="shared" si="23"/>
        <v>Vienne</v>
      </c>
      <c r="C347" t="s">
        <v>826</v>
      </c>
      <c r="D347" t="s">
        <v>827</v>
      </c>
      <c r="E347">
        <v>248600413</v>
      </c>
      <c r="F347">
        <v>2024</v>
      </c>
      <c r="G347" t="s">
        <v>21</v>
      </c>
      <c r="H347" s="1">
        <v>7554</v>
      </c>
      <c r="I347" s="4">
        <v>11526</v>
      </c>
      <c r="J347" s="4">
        <v>15987</v>
      </c>
      <c r="K347" s="1">
        <f t="shared" si="24"/>
        <v>629.5</v>
      </c>
      <c r="L347" s="1">
        <f t="shared" si="24"/>
        <v>960.5</v>
      </c>
      <c r="M347" s="1">
        <f t="shared" si="24"/>
        <v>1332.25</v>
      </c>
      <c r="N347" t="str">
        <f t="shared" si="21"/>
        <v>NOUVELLE-AQUITAINE|86 - Vienne|CA Grand Châtellerault</v>
      </c>
      <c r="O347" t="str">
        <f t="shared" si="22"/>
        <v>Province</v>
      </c>
    </row>
    <row r="348" spans="1:15" x14ac:dyDescent="0.25">
      <c r="A348" t="s">
        <v>738</v>
      </c>
      <c r="B348" t="str">
        <f t="shared" si="23"/>
        <v>Vienne</v>
      </c>
      <c r="C348" t="s">
        <v>826</v>
      </c>
      <c r="D348" t="s">
        <v>829</v>
      </c>
      <c r="E348">
        <v>200069854</v>
      </c>
      <c r="F348">
        <v>2024</v>
      </c>
      <c r="G348" t="s">
        <v>21</v>
      </c>
      <c r="H348" s="1">
        <v>8400</v>
      </c>
      <c r="I348" s="4">
        <v>12276</v>
      </c>
      <c r="J348" s="4">
        <v>17641</v>
      </c>
      <c r="K348" s="1">
        <f t="shared" si="24"/>
        <v>700</v>
      </c>
      <c r="L348" s="1">
        <f t="shared" si="24"/>
        <v>1023</v>
      </c>
      <c r="M348" s="1">
        <f t="shared" si="24"/>
        <v>1470.0833333333333</v>
      </c>
      <c r="N348" t="str">
        <f t="shared" si="21"/>
        <v>NOUVELLE-AQUITAINE|86 - Vienne|CU du Grand Poitiers</v>
      </c>
      <c r="O348" t="str">
        <f t="shared" si="22"/>
        <v>Province</v>
      </c>
    </row>
    <row r="349" spans="1:15" x14ac:dyDescent="0.25">
      <c r="A349" t="s">
        <v>738</v>
      </c>
      <c r="B349" t="str">
        <f t="shared" si="23"/>
        <v>Haute-Vienne</v>
      </c>
      <c r="C349" t="s">
        <v>832</v>
      </c>
      <c r="D349" t="s">
        <v>833</v>
      </c>
      <c r="E349">
        <v>248719312</v>
      </c>
      <c r="F349">
        <v>2024</v>
      </c>
      <c r="G349" t="s">
        <v>21</v>
      </c>
      <c r="H349" s="1">
        <v>9228</v>
      </c>
      <c r="I349" s="4">
        <v>12895</v>
      </c>
      <c r="J349" s="4">
        <v>17963</v>
      </c>
      <c r="K349" s="1">
        <f t="shared" si="24"/>
        <v>769</v>
      </c>
      <c r="L349" s="1">
        <f t="shared" si="24"/>
        <v>1074.5833333333333</v>
      </c>
      <c r="M349" s="1">
        <f t="shared" si="24"/>
        <v>1496.9166666666667</v>
      </c>
      <c r="N349" t="str">
        <f t="shared" si="21"/>
        <v>NOUVELLE-AQUITAINE|87 - Haute-Vienne|CU Limoges Métropole</v>
      </c>
      <c r="O349" t="str">
        <f t="shared" si="22"/>
        <v>Province</v>
      </c>
    </row>
    <row r="350" spans="1:15" x14ac:dyDescent="0.25">
      <c r="A350" t="s">
        <v>835</v>
      </c>
      <c r="B350" t="str">
        <f t="shared" si="23"/>
        <v>Ariège</v>
      </c>
      <c r="C350" t="s">
        <v>837</v>
      </c>
      <c r="D350" t="s">
        <v>838</v>
      </c>
      <c r="E350">
        <v>200067791</v>
      </c>
      <c r="F350">
        <v>2024</v>
      </c>
      <c r="G350" t="s">
        <v>21</v>
      </c>
      <c r="H350" s="1">
        <v>8310</v>
      </c>
      <c r="I350" s="4">
        <v>11640</v>
      </c>
      <c r="J350" s="4">
        <v>15547</v>
      </c>
      <c r="K350" s="1">
        <f t="shared" si="24"/>
        <v>692.5</v>
      </c>
      <c r="L350" s="1">
        <f t="shared" si="24"/>
        <v>970</v>
      </c>
      <c r="M350" s="1">
        <f t="shared" si="24"/>
        <v>1295.5833333333333</v>
      </c>
      <c r="N350" t="str">
        <f t="shared" si="21"/>
        <v>OCCITANIE|09 - Ariège|CA L'Agglo Foix-Varilhes</v>
      </c>
      <c r="O350" t="str">
        <f t="shared" si="22"/>
        <v>Province</v>
      </c>
    </row>
    <row r="351" spans="1:15" x14ac:dyDescent="0.25">
      <c r="A351" t="s">
        <v>835</v>
      </c>
      <c r="B351" t="str">
        <f t="shared" si="23"/>
        <v>Ariège</v>
      </c>
      <c r="C351" t="s">
        <v>837</v>
      </c>
      <c r="D351" t="s">
        <v>840</v>
      </c>
      <c r="E351">
        <v>200067940</v>
      </c>
      <c r="F351">
        <v>2024</v>
      </c>
      <c r="G351" t="s">
        <v>21</v>
      </c>
      <c r="H351" s="1">
        <v>7176</v>
      </c>
      <c r="I351" s="4">
        <v>11148</v>
      </c>
      <c r="J351" s="4">
        <v>14460</v>
      </c>
      <c r="K351" s="1">
        <f t="shared" si="24"/>
        <v>598</v>
      </c>
      <c r="L351" s="1">
        <f t="shared" si="24"/>
        <v>929</v>
      </c>
      <c r="M351" s="1">
        <f t="shared" si="24"/>
        <v>1205</v>
      </c>
      <c r="N351" t="str">
        <f t="shared" si="21"/>
        <v>OCCITANIE|09 - Ariège|CC Couserans-Pyrénées</v>
      </c>
      <c r="O351" t="str">
        <f t="shared" si="22"/>
        <v>Province</v>
      </c>
    </row>
    <row r="352" spans="1:15" x14ac:dyDescent="0.25">
      <c r="A352" t="s">
        <v>835</v>
      </c>
      <c r="B352" t="str">
        <f t="shared" si="23"/>
        <v>Ariège</v>
      </c>
      <c r="C352" t="s">
        <v>837</v>
      </c>
      <c r="D352" t="s">
        <v>842</v>
      </c>
      <c r="E352">
        <v>200066231</v>
      </c>
      <c r="F352">
        <v>2024</v>
      </c>
      <c r="G352" t="s">
        <v>21</v>
      </c>
      <c r="H352" s="1">
        <v>7664</v>
      </c>
      <c r="I352" s="4">
        <v>12000</v>
      </c>
      <c r="J352" s="4">
        <v>16266</v>
      </c>
      <c r="K352" s="1">
        <f t="shared" si="24"/>
        <v>638.66666666666663</v>
      </c>
      <c r="L352" s="1">
        <f t="shared" si="24"/>
        <v>1000</v>
      </c>
      <c r="M352" s="1">
        <f t="shared" si="24"/>
        <v>1355.5</v>
      </c>
      <c r="N352" t="str">
        <f t="shared" si="21"/>
        <v>OCCITANIE|09 - Ariège|CC des Portes d'Ariège Pyrénées</v>
      </c>
      <c r="O352" t="str">
        <f t="shared" si="22"/>
        <v>Province</v>
      </c>
    </row>
    <row r="353" spans="1:15" x14ac:dyDescent="0.25">
      <c r="A353" t="s">
        <v>835</v>
      </c>
      <c r="B353" t="str">
        <f t="shared" si="23"/>
        <v>Aude</v>
      </c>
      <c r="C353" t="s">
        <v>845</v>
      </c>
      <c r="D353" t="s">
        <v>846</v>
      </c>
      <c r="E353">
        <v>200035715</v>
      </c>
      <c r="F353">
        <v>2024</v>
      </c>
      <c r="G353" t="s">
        <v>21</v>
      </c>
      <c r="H353" s="1">
        <v>7781</v>
      </c>
      <c r="I353" s="4">
        <v>11532</v>
      </c>
      <c r="J353" s="4">
        <v>15786</v>
      </c>
      <c r="K353" s="1">
        <f t="shared" si="24"/>
        <v>648.41666666666663</v>
      </c>
      <c r="L353" s="1">
        <f t="shared" si="24"/>
        <v>961</v>
      </c>
      <c r="M353" s="1">
        <f t="shared" si="24"/>
        <v>1315.5</v>
      </c>
      <c r="N353" t="str">
        <f t="shared" si="21"/>
        <v>OCCITANIE|11 - Aude|CA Carcassonne Agglo</v>
      </c>
      <c r="O353" t="str">
        <f t="shared" si="22"/>
        <v>Province</v>
      </c>
    </row>
    <row r="354" spans="1:15" x14ac:dyDescent="0.25">
      <c r="A354" t="s">
        <v>835</v>
      </c>
      <c r="B354" t="str">
        <f t="shared" si="23"/>
        <v>Aude</v>
      </c>
      <c r="C354" t="s">
        <v>845</v>
      </c>
      <c r="D354" t="s">
        <v>848</v>
      </c>
      <c r="E354">
        <v>241100593</v>
      </c>
      <c r="F354">
        <v>2024</v>
      </c>
      <c r="G354" t="s">
        <v>21</v>
      </c>
      <c r="H354" s="1">
        <v>8234</v>
      </c>
      <c r="I354" s="4">
        <v>11652</v>
      </c>
      <c r="J354" s="4">
        <v>16034</v>
      </c>
      <c r="K354" s="1">
        <f t="shared" si="24"/>
        <v>686.16666666666663</v>
      </c>
      <c r="L354" s="1">
        <f t="shared" si="24"/>
        <v>971</v>
      </c>
      <c r="M354" s="1">
        <f t="shared" si="24"/>
        <v>1336.1666666666667</v>
      </c>
      <c r="N354" t="str">
        <f t="shared" si="21"/>
        <v>OCCITANIE|11 - Aude|CA Le Grand Narbonne</v>
      </c>
      <c r="O354" t="str">
        <f t="shared" si="22"/>
        <v>Province</v>
      </c>
    </row>
    <row r="355" spans="1:15" x14ac:dyDescent="0.25">
      <c r="A355" t="s">
        <v>835</v>
      </c>
      <c r="B355" t="str">
        <f t="shared" si="23"/>
        <v>Aude</v>
      </c>
      <c r="C355" t="s">
        <v>845</v>
      </c>
      <c r="D355" t="s">
        <v>850</v>
      </c>
      <c r="E355">
        <v>200071926</v>
      </c>
      <c r="F355">
        <v>2024</v>
      </c>
      <c r="G355" t="s">
        <v>21</v>
      </c>
      <c r="H355" s="1">
        <v>7137</v>
      </c>
      <c r="I355" s="4">
        <v>11472</v>
      </c>
      <c r="J355" s="4">
        <v>14640</v>
      </c>
      <c r="K355" s="1">
        <f t="shared" si="24"/>
        <v>594.75</v>
      </c>
      <c r="L355" s="1">
        <f t="shared" si="24"/>
        <v>956</v>
      </c>
      <c r="M355" s="1">
        <f t="shared" si="24"/>
        <v>1220</v>
      </c>
      <c r="N355" t="str">
        <f t="shared" si="21"/>
        <v>OCCITANIE|11 - Aude|CC du Limouxin</v>
      </c>
      <c r="O355" t="str">
        <f t="shared" si="22"/>
        <v>Province</v>
      </c>
    </row>
    <row r="356" spans="1:15" x14ac:dyDescent="0.25">
      <c r="A356" t="s">
        <v>835</v>
      </c>
      <c r="B356" t="str">
        <f t="shared" si="23"/>
        <v>Aude</v>
      </c>
      <c r="C356" t="s">
        <v>845</v>
      </c>
      <c r="D356" t="s">
        <v>852</v>
      </c>
      <c r="E356">
        <v>200035863</v>
      </c>
      <c r="F356">
        <v>2024</v>
      </c>
      <c r="G356" t="s">
        <v>21</v>
      </c>
      <c r="H356" s="1">
        <v>7768</v>
      </c>
      <c r="I356" s="4">
        <v>11640</v>
      </c>
      <c r="J356" s="4">
        <v>15380</v>
      </c>
      <c r="K356" s="1">
        <f t="shared" si="24"/>
        <v>647.33333333333337</v>
      </c>
      <c r="L356" s="1">
        <f t="shared" si="24"/>
        <v>970</v>
      </c>
      <c r="M356" s="1">
        <f t="shared" si="24"/>
        <v>1281.6666666666667</v>
      </c>
      <c r="N356" t="str">
        <f t="shared" si="21"/>
        <v>OCCITANIE|11 - Aude|CC Région Lézignanaise, Corbières et Minervois</v>
      </c>
      <c r="O356" t="str">
        <f t="shared" si="22"/>
        <v>Province</v>
      </c>
    </row>
    <row r="357" spans="1:15" x14ac:dyDescent="0.25">
      <c r="A357" t="s">
        <v>835</v>
      </c>
      <c r="B357" t="str">
        <f t="shared" si="23"/>
        <v>Aveyron</v>
      </c>
      <c r="C357" t="s">
        <v>855</v>
      </c>
      <c r="D357" t="s">
        <v>856</v>
      </c>
      <c r="E357">
        <v>241200187</v>
      </c>
      <c r="F357">
        <v>2024</v>
      </c>
      <c r="G357" t="s">
        <v>21</v>
      </c>
      <c r="H357" s="1">
        <v>8779</v>
      </c>
      <c r="I357" s="4">
        <v>12404</v>
      </c>
      <c r="J357" s="4">
        <v>16734</v>
      </c>
      <c r="K357" s="1">
        <f t="shared" si="24"/>
        <v>731.58333333333337</v>
      </c>
      <c r="L357" s="1">
        <f t="shared" si="24"/>
        <v>1033.6666666666667</v>
      </c>
      <c r="M357" s="1">
        <f t="shared" si="24"/>
        <v>1394.5</v>
      </c>
      <c r="N357" t="str">
        <f t="shared" si="21"/>
        <v>OCCITANIE|12 - Aveyron|CA Rodez Agglomération</v>
      </c>
      <c r="O357" t="str">
        <f t="shared" si="22"/>
        <v>Province</v>
      </c>
    </row>
    <row r="358" spans="1:15" x14ac:dyDescent="0.25">
      <c r="A358" t="s">
        <v>835</v>
      </c>
      <c r="B358" t="str">
        <f t="shared" si="23"/>
        <v>Aveyron</v>
      </c>
      <c r="C358" t="s">
        <v>855</v>
      </c>
      <c r="D358" t="s">
        <v>858</v>
      </c>
      <c r="E358">
        <v>241200567</v>
      </c>
      <c r="F358">
        <v>2024</v>
      </c>
      <c r="G358" t="s">
        <v>21</v>
      </c>
      <c r="H358" s="1">
        <v>8847</v>
      </c>
      <c r="I358" s="4">
        <v>12305</v>
      </c>
      <c r="J358" s="4">
        <v>16928</v>
      </c>
      <c r="K358" s="1">
        <f t="shared" si="24"/>
        <v>737.25</v>
      </c>
      <c r="L358" s="1">
        <f t="shared" si="24"/>
        <v>1025.4166666666667</v>
      </c>
      <c r="M358" s="1">
        <f t="shared" si="24"/>
        <v>1410.6666666666667</v>
      </c>
      <c r="N358" t="str">
        <f t="shared" si="21"/>
        <v>OCCITANIE|12 - Aveyron|CC de Millau Grands Causses</v>
      </c>
      <c r="O358" t="str">
        <f t="shared" si="22"/>
        <v>Province</v>
      </c>
    </row>
    <row r="359" spans="1:15" x14ac:dyDescent="0.25">
      <c r="A359" t="s">
        <v>835</v>
      </c>
      <c r="B359" t="str">
        <f t="shared" si="23"/>
        <v>Aveyron</v>
      </c>
      <c r="C359" t="s">
        <v>855</v>
      </c>
      <c r="D359" t="s">
        <v>860</v>
      </c>
      <c r="E359">
        <v>200067361</v>
      </c>
      <c r="F359">
        <v>2024</v>
      </c>
      <c r="G359" t="s">
        <v>21</v>
      </c>
      <c r="H359" s="1">
        <v>8551</v>
      </c>
      <c r="I359" s="4">
        <v>11652</v>
      </c>
      <c r="J359" s="4">
        <v>15959</v>
      </c>
      <c r="K359" s="1">
        <f t="shared" si="24"/>
        <v>712.58333333333337</v>
      </c>
      <c r="L359" s="1">
        <f t="shared" si="24"/>
        <v>971</v>
      </c>
      <c r="M359" s="1">
        <f t="shared" si="24"/>
        <v>1329.9166666666667</v>
      </c>
      <c r="N359" t="str">
        <f t="shared" si="21"/>
        <v>OCCITANIE|12 - Aveyron|CC Grand-Figeac</v>
      </c>
      <c r="O359" t="str">
        <f t="shared" si="22"/>
        <v>Province</v>
      </c>
    </row>
    <row r="360" spans="1:15" x14ac:dyDescent="0.25">
      <c r="A360" t="s">
        <v>835</v>
      </c>
      <c r="B360" t="str">
        <f t="shared" si="23"/>
        <v>Aveyron</v>
      </c>
      <c r="C360" t="s">
        <v>855</v>
      </c>
      <c r="D360" t="s">
        <v>862</v>
      </c>
      <c r="E360">
        <v>200069383</v>
      </c>
      <c r="F360">
        <v>2024</v>
      </c>
      <c r="G360" t="s">
        <v>21</v>
      </c>
      <c r="H360" s="1">
        <v>7988</v>
      </c>
      <c r="I360" s="4">
        <v>11280</v>
      </c>
      <c r="J360" s="4">
        <v>14640</v>
      </c>
      <c r="K360" s="1">
        <f t="shared" si="24"/>
        <v>665.66666666666663</v>
      </c>
      <c r="L360" s="1">
        <f t="shared" si="24"/>
        <v>940</v>
      </c>
      <c r="M360" s="1">
        <f t="shared" si="24"/>
        <v>1220</v>
      </c>
      <c r="N360" t="str">
        <f t="shared" si="21"/>
        <v>OCCITANIE|12 - Aveyron|Ouest Aveyron Communauté</v>
      </c>
      <c r="O360" t="str">
        <f t="shared" si="22"/>
        <v>Province</v>
      </c>
    </row>
    <row r="361" spans="1:15" x14ac:dyDescent="0.25">
      <c r="A361" t="s">
        <v>835</v>
      </c>
      <c r="B361" t="str">
        <f t="shared" si="23"/>
        <v>Gard</v>
      </c>
      <c r="C361" t="s">
        <v>865</v>
      </c>
      <c r="D361" t="s">
        <v>866</v>
      </c>
      <c r="E361">
        <v>200066918</v>
      </c>
      <c r="F361">
        <v>2024</v>
      </c>
      <c r="G361" t="s">
        <v>21</v>
      </c>
      <c r="H361" s="1">
        <v>7772</v>
      </c>
      <c r="I361" s="4">
        <v>11532</v>
      </c>
      <c r="J361" s="4">
        <v>15536</v>
      </c>
      <c r="K361" s="1">
        <f t="shared" si="24"/>
        <v>647.66666666666663</v>
      </c>
      <c r="L361" s="1">
        <f t="shared" si="24"/>
        <v>961</v>
      </c>
      <c r="M361" s="1">
        <f t="shared" si="24"/>
        <v>1294.6666666666667</v>
      </c>
      <c r="N361" t="str">
        <f t="shared" si="21"/>
        <v>OCCITANIE|30 - Gard|CA Alès Agglomération</v>
      </c>
      <c r="O361" t="str">
        <f t="shared" si="22"/>
        <v>Province</v>
      </c>
    </row>
    <row r="362" spans="1:15" x14ac:dyDescent="0.25">
      <c r="A362" t="s">
        <v>835</v>
      </c>
      <c r="B362" t="str">
        <f t="shared" si="23"/>
        <v>Gard</v>
      </c>
      <c r="C362" t="s">
        <v>865</v>
      </c>
      <c r="D362" t="s">
        <v>868</v>
      </c>
      <c r="E362">
        <v>243000643</v>
      </c>
      <c r="F362">
        <v>2024</v>
      </c>
      <c r="G362" t="s">
        <v>21</v>
      </c>
      <c r="H362" s="1">
        <v>7981</v>
      </c>
      <c r="I362" s="4">
        <v>11772</v>
      </c>
      <c r="J362" s="4">
        <v>16712</v>
      </c>
      <c r="K362" s="1">
        <f t="shared" si="24"/>
        <v>665.08333333333337</v>
      </c>
      <c r="L362" s="1">
        <f t="shared" si="24"/>
        <v>981</v>
      </c>
      <c r="M362" s="1">
        <f t="shared" si="24"/>
        <v>1392.6666666666667</v>
      </c>
      <c r="N362" t="str">
        <f t="shared" si="21"/>
        <v>OCCITANIE|30 - Gard|CA de Nîmes Métropole</v>
      </c>
      <c r="O362" t="str">
        <f t="shared" si="22"/>
        <v>Province</v>
      </c>
    </row>
    <row r="363" spans="1:15" x14ac:dyDescent="0.25">
      <c r="A363" t="s">
        <v>835</v>
      </c>
      <c r="B363" t="str">
        <f t="shared" si="23"/>
        <v>Gard</v>
      </c>
      <c r="C363" t="s">
        <v>865</v>
      </c>
      <c r="D363" t="s">
        <v>870</v>
      </c>
      <c r="E363">
        <v>200034692</v>
      </c>
      <c r="F363">
        <v>2024</v>
      </c>
      <c r="G363" t="s">
        <v>21</v>
      </c>
      <c r="H363" s="1">
        <v>8160</v>
      </c>
      <c r="I363" s="4">
        <v>11667</v>
      </c>
      <c r="J363" s="4">
        <v>16844</v>
      </c>
      <c r="K363" s="1">
        <f t="shared" si="24"/>
        <v>680</v>
      </c>
      <c r="L363" s="1">
        <f t="shared" si="24"/>
        <v>972.25</v>
      </c>
      <c r="M363" s="1">
        <f t="shared" si="24"/>
        <v>1403.6666666666667</v>
      </c>
      <c r="N363" t="str">
        <f t="shared" si="21"/>
        <v>OCCITANIE|30 - Gard|CA du Gard Rhodanien</v>
      </c>
      <c r="O363" t="str">
        <f t="shared" si="22"/>
        <v>Province</v>
      </c>
    </row>
    <row r="364" spans="1:15" x14ac:dyDescent="0.25">
      <c r="A364" t="s">
        <v>835</v>
      </c>
      <c r="B364" t="str">
        <f t="shared" si="23"/>
        <v>Gard</v>
      </c>
      <c r="C364" t="s">
        <v>865</v>
      </c>
      <c r="D364" t="s">
        <v>872</v>
      </c>
      <c r="E364">
        <v>248400251</v>
      </c>
      <c r="F364">
        <v>2024</v>
      </c>
      <c r="G364" t="s">
        <v>21</v>
      </c>
      <c r="H364" s="1">
        <v>8651</v>
      </c>
      <c r="I364" s="4">
        <v>12520</v>
      </c>
      <c r="J364" s="4">
        <v>17697</v>
      </c>
      <c r="K364" s="1">
        <f t="shared" si="24"/>
        <v>720.91666666666663</v>
      </c>
      <c r="L364" s="1">
        <f t="shared" si="24"/>
        <v>1043.3333333333333</v>
      </c>
      <c r="M364" s="1">
        <f t="shared" si="24"/>
        <v>1474.75</v>
      </c>
      <c r="N364" t="str">
        <f t="shared" si="21"/>
        <v>OCCITANIE|30 - Gard|CA du Grand Avignon (COGA)</v>
      </c>
      <c r="O364" t="str">
        <f t="shared" si="22"/>
        <v>Province</v>
      </c>
    </row>
    <row r="365" spans="1:15" x14ac:dyDescent="0.25">
      <c r="A365" t="s">
        <v>835</v>
      </c>
      <c r="B365" t="str">
        <f t="shared" si="23"/>
        <v>Gard</v>
      </c>
      <c r="C365" t="s">
        <v>865</v>
      </c>
      <c r="D365" t="s">
        <v>874</v>
      </c>
      <c r="E365">
        <v>243000585</v>
      </c>
      <c r="F365">
        <v>2024</v>
      </c>
      <c r="G365" t="s">
        <v>21</v>
      </c>
      <c r="H365" s="1">
        <v>8127</v>
      </c>
      <c r="I365" s="4">
        <v>11652</v>
      </c>
      <c r="J365" s="4">
        <v>16347</v>
      </c>
      <c r="K365" s="1">
        <f t="shared" si="24"/>
        <v>677.25</v>
      </c>
      <c r="L365" s="1">
        <f t="shared" si="24"/>
        <v>971</v>
      </c>
      <c r="M365" s="1">
        <f t="shared" si="24"/>
        <v>1362.25</v>
      </c>
      <c r="N365" t="str">
        <f t="shared" si="21"/>
        <v>OCCITANIE|30 - Gard|CC Beaucaire Terre d'Argence</v>
      </c>
      <c r="O365" t="str">
        <f t="shared" si="22"/>
        <v>Province</v>
      </c>
    </row>
    <row r="366" spans="1:15" x14ac:dyDescent="0.25">
      <c r="A366" t="s">
        <v>835</v>
      </c>
      <c r="B366" t="str">
        <f t="shared" si="23"/>
        <v>Gard</v>
      </c>
      <c r="C366" t="s">
        <v>865</v>
      </c>
      <c r="D366" t="s">
        <v>54</v>
      </c>
      <c r="E366">
        <v>200035129</v>
      </c>
      <c r="F366">
        <v>2024</v>
      </c>
      <c r="G366" t="s">
        <v>21</v>
      </c>
      <c r="H366" s="1">
        <v>7365</v>
      </c>
      <c r="I366" s="4">
        <v>11526</v>
      </c>
      <c r="J366" s="4">
        <v>14830</v>
      </c>
      <c r="K366" s="1">
        <f t="shared" si="24"/>
        <v>613.75</v>
      </c>
      <c r="L366" s="1">
        <f t="shared" si="24"/>
        <v>960.5</v>
      </c>
      <c r="M366" s="1">
        <f t="shared" si="24"/>
        <v>1235.8333333333333</v>
      </c>
      <c r="N366" t="str">
        <f t="shared" si="21"/>
        <v>OCCITANIE|30 - Gard|CC de Cèze Cévennes</v>
      </c>
      <c r="O366" t="str">
        <f t="shared" si="22"/>
        <v>Province</v>
      </c>
    </row>
    <row r="367" spans="1:15" x14ac:dyDescent="0.25">
      <c r="A367" t="s">
        <v>835</v>
      </c>
      <c r="B367" t="str">
        <f t="shared" si="23"/>
        <v>Gard</v>
      </c>
      <c r="C367" t="s">
        <v>865</v>
      </c>
      <c r="D367" t="s">
        <v>876</v>
      </c>
      <c r="E367">
        <v>243000593</v>
      </c>
      <c r="F367">
        <v>2024</v>
      </c>
      <c r="G367" t="s">
        <v>21</v>
      </c>
      <c r="H367" s="1">
        <v>9414</v>
      </c>
      <c r="I367" s="4">
        <v>12552</v>
      </c>
      <c r="J367" s="4">
        <v>17054</v>
      </c>
      <c r="K367" s="1">
        <f t="shared" si="24"/>
        <v>784.5</v>
      </c>
      <c r="L367" s="1">
        <f t="shared" si="24"/>
        <v>1046</v>
      </c>
      <c r="M367" s="1">
        <f t="shared" si="24"/>
        <v>1421.1666666666667</v>
      </c>
      <c r="N367" t="str">
        <f t="shared" si="21"/>
        <v>OCCITANIE|30 - Gard|CC de Petite Camargue</v>
      </c>
      <c r="O367" t="str">
        <f t="shared" si="22"/>
        <v>Province</v>
      </c>
    </row>
    <row r="368" spans="1:15" x14ac:dyDescent="0.25">
      <c r="A368" t="s">
        <v>835</v>
      </c>
      <c r="B368" t="str">
        <f t="shared" si="23"/>
        <v>Gard</v>
      </c>
      <c r="C368" t="s">
        <v>865</v>
      </c>
      <c r="D368" t="s">
        <v>878</v>
      </c>
      <c r="E368">
        <v>200034379</v>
      </c>
      <c r="F368">
        <v>2024</v>
      </c>
      <c r="G368" t="s">
        <v>21</v>
      </c>
      <c r="H368" s="1">
        <v>8402</v>
      </c>
      <c r="I368" s="4">
        <v>11652</v>
      </c>
      <c r="J368" s="4">
        <v>15849</v>
      </c>
      <c r="K368" s="1">
        <f t="shared" si="24"/>
        <v>700.16666666666663</v>
      </c>
      <c r="L368" s="1">
        <f t="shared" si="24"/>
        <v>971</v>
      </c>
      <c r="M368" s="1">
        <f t="shared" si="24"/>
        <v>1320.75</v>
      </c>
      <c r="N368" t="str">
        <f t="shared" si="21"/>
        <v>OCCITANIE|30 - Gard|CC Pays d'Uzès</v>
      </c>
      <c r="O368" t="str">
        <f t="shared" si="22"/>
        <v>Province</v>
      </c>
    </row>
    <row r="369" spans="1:15" x14ac:dyDescent="0.25">
      <c r="A369" t="s">
        <v>835</v>
      </c>
      <c r="B369" t="str">
        <f t="shared" si="23"/>
        <v>Haute-Garonne</v>
      </c>
      <c r="C369" t="s">
        <v>881</v>
      </c>
      <c r="D369" t="s">
        <v>882</v>
      </c>
      <c r="E369">
        <v>243100633</v>
      </c>
      <c r="F369">
        <v>2024</v>
      </c>
      <c r="G369" t="s">
        <v>21</v>
      </c>
      <c r="H369" s="1">
        <v>8952</v>
      </c>
      <c r="I369" s="4">
        <v>13374</v>
      </c>
      <c r="J369" s="4">
        <v>18911</v>
      </c>
      <c r="K369" s="1">
        <f t="shared" si="24"/>
        <v>746</v>
      </c>
      <c r="L369" s="1">
        <f t="shared" si="24"/>
        <v>1114.5</v>
      </c>
      <c r="M369" s="1">
        <f t="shared" si="24"/>
        <v>1575.9166666666667</v>
      </c>
      <c r="N369" t="str">
        <f t="shared" si="21"/>
        <v>OCCITANIE|31 - Haute-Garonne|CA du Sicoval</v>
      </c>
      <c r="O369" t="str">
        <f t="shared" si="22"/>
        <v>Province</v>
      </c>
    </row>
    <row r="370" spans="1:15" x14ac:dyDescent="0.25">
      <c r="A370" t="s">
        <v>835</v>
      </c>
      <c r="B370" t="str">
        <f t="shared" si="23"/>
        <v>Haute-Garonne</v>
      </c>
      <c r="C370" t="s">
        <v>881</v>
      </c>
      <c r="D370" t="s">
        <v>884</v>
      </c>
      <c r="E370">
        <v>200068641</v>
      </c>
      <c r="F370">
        <v>2024</v>
      </c>
      <c r="G370" t="s">
        <v>21</v>
      </c>
      <c r="H370" s="1">
        <v>10560</v>
      </c>
      <c r="I370" s="4">
        <v>14171</v>
      </c>
      <c r="J370" s="4">
        <v>18732</v>
      </c>
      <c r="K370" s="1">
        <f t="shared" si="24"/>
        <v>880</v>
      </c>
      <c r="L370" s="1">
        <f t="shared" si="24"/>
        <v>1180.9166666666667</v>
      </c>
      <c r="M370" s="1">
        <f t="shared" si="24"/>
        <v>1561</v>
      </c>
      <c r="N370" t="str">
        <f t="shared" si="21"/>
        <v>OCCITANIE|31 - Haute-Garonne|CA Le Muretain Agglo</v>
      </c>
      <c r="O370" t="str">
        <f t="shared" si="22"/>
        <v>Province</v>
      </c>
    </row>
    <row r="371" spans="1:15" x14ac:dyDescent="0.25">
      <c r="A371" t="s">
        <v>835</v>
      </c>
      <c r="B371" t="str">
        <f t="shared" si="23"/>
        <v>Haute-Garonne</v>
      </c>
      <c r="C371" t="s">
        <v>881</v>
      </c>
      <c r="D371" t="s">
        <v>886</v>
      </c>
      <c r="E371">
        <v>200072643</v>
      </c>
      <c r="F371">
        <v>2024</v>
      </c>
      <c r="G371" t="s">
        <v>21</v>
      </c>
      <c r="H371" s="1">
        <v>8127</v>
      </c>
      <c r="I371" s="4">
        <v>11356</v>
      </c>
      <c r="J371" s="4">
        <v>14448</v>
      </c>
      <c r="K371" s="1">
        <f t="shared" si="24"/>
        <v>677.25</v>
      </c>
      <c r="L371" s="1">
        <f t="shared" si="24"/>
        <v>946.33333333333337</v>
      </c>
      <c r="M371" s="1">
        <f t="shared" si="24"/>
        <v>1204</v>
      </c>
      <c r="N371" t="str">
        <f t="shared" si="21"/>
        <v>OCCITANIE|31 - Haute-Garonne|CC Coeur et Coteaux du Comminges</v>
      </c>
      <c r="O371" t="str">
        <f t="shared" si="22"/>
        <v>Province</v>
      </c>
    </row>
    <row r="372" spans="1:15" x14ac:dyDescent="0.25">
      <c r="A372" t="s">
        <v>835</v>
      </c>
      <c r="B372" t="str">
        <f t="shared" si="23"/>
        <v>Haute-Garonne</v>
      </c>
      <c r="C372" t="s">
        <v>881</v>
      </c>
      <c r="D372" t="s">
        <v>888</v>
      </c>
      <c r="E372">
        <v>200068807</v>
      </c>
      <c r="F372">
        <v>2024</v>
      </c>
      <c r="G372" t="s">
        <v>21</v>
      </c>
      <c r="H372" s="1">
        <v>9635</v>
      </c>
      <c r="I372" s="4">
        <v>12960</v>
      </c>
      <c r="J372" s="4">
        <v>17862</v>
      </c>
      <c r="K372" s="1">
        <f t="shared" si="24"/>
        <v>802.91666666666663</v>
      </c>
      <c r="L372" s="1">
        <f t="shared" si="24"/>
        <v>1080</v>
      </c>
      <c r="M372" s="1">
        <f t="shared" si="24"/>
        <v>1488.5</v>
      </c>
      <c r="N372" t="str">
        <f t="shared" si="21"/>
        <v>OCCITANIE|31 - Haute-Garonne|CC du Bassin Auterivain Haut-Garonnais</v>
      </c>
      <c r="O372" t="str">
        <f t="shared" si="22"/>
        <v>Province</v>
      </c>
    </row>
    <row r="373" spans="1:15" x14ac:dyDescent="0.25">
      <c r="A373" t="s">
        <v>835</v>
      </c>
      <c r="B373" t="str">
        <f t="shared" si="23"/>
        <v>Haute-Garonne</v>
      </c>
      <c r="C373" t="s">
        <v>881</v>
      </c>
      <c r="D373" t="s">
        <v>890</v>
      </c>
      <c r="E373">
        <v>200034023</v>
      </c>
      <c r="F373">
        <v>2024</v>
      </c>
      <c r="G373" t="s">
        <v>21</v>
      </c>
      <c r="H373" s="1">
        <v>9120</v>
      </c>
      <c r="I373" s="4">
        <v>12144</v>
      </c>
      <c r="J373" s="4">
        <v>16985</v>
      </c>
      <c r="K373" s="1">
        <f t="shared" si="24"/>
        <v>760</v>
      </c>
      <c r="L373" s="1">
        <f t="shared" si="24"/>
        <v>1012</v>
      </c>
      <c r="M373" s="1">
        <f t="shared" si="24"/>
        <v>1415.4166666666667</v>
      </c>
      <c r="N373" t="str">
        <f t="shared" si="21"/>
        <v>OCCITANIE|31 - Haute-Garonne|CC Tarn-Agout</v>
      </c>
      <c r="O373" t="str">
        <f t="shared" si="22"/>
        <v>Province</v>
      </c>
    </row>
    <row r="374" spans="1:15" x14ac:dyDescent="0.25">
      <c r="A374" t="s">
        <v>835</v>
      </c>
      <c r="B374" t="str">
        <f t="shared" si="23"/>
        <v>Haute-Garonne</v>
      </c>
      <c r="C374" t="s">
        <v>881</v>
      </c>
      <c r="D374" t="s">
        <v>1091</v>
      </c>
      <c r="E374">
        <v>243100781</v>
      </c>
      <c r="F374">
        <v>2024</v>
      </c>
      <c r="G374" t="s">
        <v>21</v>
      </c>
      <c r="H374" s="1">
        <v>10403</v>
      </c>
      <c r="I374" s="4">
        <v>14411</v>
      </c>
      <c r="J374" s="4">
        <v>18708</v>
      </c>
      <c r="K374" s="1">
        <f t="shared" si="24"/>
        <v>866.91666666666663</v>
      </c>
      <c r="L374" s="1">
        <f t="shared" si="24"/>
        <v>1200.9166666666667</v>
      </c>
      <c r="M374" s="1">
        <f t="shared" si="24"/>
        <v>1559</v>
      </c>
      <c r="N374" t="str">
        <f t="shared" si="21"/>
        <v>OCCITANIE|31 - Haute-Garonne|Le Grand Ouest Toulousain agglomération</v>
      </c>
      <c r="O374" t="str">
        <f t="shared" si="22"/>
        <v>Province</v>
      </c>
    </row>
    <row r="375" spans="1:15" x14ac:dyDescent="0.25">
      <c r="A375" t="s">
        <v>835</v>
      </c>
      <c r="B375" t="str">
        <f t="shared" si="23"/>
        <v>Haute-Garonne</v>
      </c>
      <c r="C375" t="s">
        <v>881</v>
      </c>
      <c r="D375" t="s">
        <v>894</v>
      </c>
      <c r="E375">
        <v>243100518</v>
      </c>
      <c r="F375">
        <v>2024</v>
      </c>
      <c r="G375" t="s">
        <v>21</v>
      </c>
      <c r="H375" s="1">
        <v>9468</v>
      </c>
      <c r="I375" s="4">
        <v>13415</v>
      </c>
      <c r="J375" s="4">
        <v>18612</v>
      </c>
      <c r="K375" s="1">
        <f t="shared" si="24"/>
        <v>789</v>
      </c>
      <c r="L375" s="1">
        <f t="shared" si="24"/>
        <v>1117.9166666666667</v>
      </c>
      <c r="M375" s="1">
        <f t="shared" si="24"/>
        <v>1551</v>
      </c>
      <c r="N375" t="str">
        <f t="shared" si="21"/>
        <v>OCCITANIE|31 - Haute-Garonne|Toulouse Métropole</v>
      </c>
      <c r="O375" t="str">
        <f t="shared" si="22"/>
        <v>Province</v>
      </c>
    </row>
    <row r="376" spans="1:15" x14ac:dyDescent="0.25">
      <c r="A376" t="s">
        <v>835</v>
      </c>
      <c r="B376" t="str">
        <f t="shared" si="23"/>
        <v>Gers</v>
      </c>
      <c r="C376" t="s">
        <v>897</v>
      </c>
      <c r="D376" t="s">
        <v>898</v>
      </c>
      <c r="E376">
        <v>200066926</v>
      </c>
      <c r="F376">
        <v>2024</v>
      </c>
      <c r="G376" t="s">
        <v>21</v>
      </c>
      <c r="H376" s="1">
        <v>8929</v>
      </c>
      <c r="I376" s="4">
        <v>12355</v>
      </c>
      <c r="J376" s="4">
        <v>17205</v>
      </c>
      <c r="K376" s="1">
        <f t="shared" si="24"/>
        <v>744.08333333333337</v>
      </c>
      <c r="L376" s="1">
        <f t="shared" si="24"/>
        <v>1029.5833333333333</v>
      </c>
      <c r="M376" s="1">
        <f t="shared" si="24"/>
        <v>1433.75</v>
      </c>
      <c r="N376" t="str">
        <f t="shared" si="21"/>
        <v>OCCITANIE|32 - Gers|CA Grand Auch Coeur de Gascogne</v>
      </c>
      <c r="O376" t="str">
        <f t="shared" si="22"/>
        <v>Province</v>
      </c>
    </row>
    <row r="377" spans="1:15" x14ac:dyDescent="0.25">
      <c r="A377" t="s">
        <v>835</v>
      </c>
      <c r="B377" t="str">
        <f t="shared" si="23"/>
        <v>Hérault</v>
      </c>
      <c r="C377" t="s">
        <v>901</v>
      </c>
      <c r="D377" t="s">
        <v>902</v>
      </c>
      <c r="E377">
        <v>243400769</v>
      </c>
      <c r="F377">
        <v>2024</v>
      </c>
      <c r="G377" t="s">
        <v>21</v>
      </c>
      <c r="H377" s="1">
        <v>7946</v>
      </c>
      <c r="I377" s="4">
        <v>11532</v>
      </c>
      <c r="J377" s="4">
        <v>15792</v>
      </c>
      <c r="K377" s="1">
        <f t="shared" si="24"/>
        <v>662.16666666666663</v>
      </c>
      <c r="L377" s="1">
        <f t="shared" si="24"/>
        <v>961</v>
      </c>
      <c r="M377" s="1">
        <f t="shared" si="24"/>
        <v>1316</v>
      </c>
      <c r="N377" t="str">
        <f t="shared" si="21"/>
        <v>OCCITANIE|34 - Hérault|CA de Béziers-Méditerranée</v>
      </c>
      <c r="O377" t="str">
        <f t="shared" si="22"/>
        <v>Province</v>
      </c>
    </row>
    <row r="378" spans="1:15" x14ac:dyDescent="0.25">
      <c r="A378" t="s">
        <v>835</v>
      </c>
      <c r="B378" t="str">
        <f t="shared" si="23"/>
        <v>Hérault</v>
      </c>
      <c r="C378" t="s">
        <v>901</v>
      </c>
      <c r="D378" t="s">
        <v>904</v>
      </c>
      <c r="E378">
        <v>243400470</v>
      </c>
      <c r="F378">
        <v>2024</v>
      </c>
      <c r="G378" t="s">
        <v>21</v>
      </c>
      <c r="H378" s="1">
        <v>11034</v>
      </c>
      <c r="I378" s="4">
        <v>14873</v>
      </c>
      <c r="J378" s="4">
        <v>19431</v>
      </c>
      <c r="K378" s="1">
        <f t="shared" si="24"/>
        <v>919.5</v>
      </c>
      <c r="L378" s="1">
        <f t="shared" si="24"/>
        <v>1239.4166666666667</v>
      </c>
      <c r="M378" s="1">
        <f t="shared" si="24"/>
        <v>1619.25</v>
      </c>
      <c r="N378" t="str">
        <f t="shared" si="21"/>
        <v>OCCITANIE|34 - Hérault|CA du Pays de l'Or</v>
      </c>
      <c r="O378" t="str">
        <f t="shared" si="22"/>
        <v>Province</v>
      </c>
    </row>
    <row r="379" spans="1:15" x14ac:dyDescent="0.25">
      <c r="A379" t="s">
        <v>835</v>
      </c>
      <c r="B379" t="str">
        <f t="shared" si="23"/>
        <v>Hérault</v>
      </c>
      <c r="C379" t="s">
        <v>901</v>
      </c>
      <c r="D379" t="s">
        <v>906</v>
      </c>
      <c r="E379">
        <v>243400819</v>
      </c>
      <c r="F379">
        <v>2024</v>
      </c>
      <c r="G379" t="s">
        <v>21</v>
      </c>
      <c r="H379" s="1">
        <v>8535</v>
      </c>
      <c r="I379" s="4">
        <v>11969</v>
      </c>
      <c r="J379" s="4">
        <v>16345</v>
      </c>
      <c r="K379" s="1">
        <f t="shared" si="24"/>
        <v>711.25</v>
      </c>
      <c r="L379" s="1">
        <f t="shared" si="24"/>
        <v>997.41666666666663</v>
      </c>
      <c r="M379" s="1">
        <f t="shared" si="24"/>
        <v>1362.0833333333333</v>
      </c>
      <c r="N379" t="str">
        <f t="shared" si="21"/>
        <v>OCCITANIE|34 - Hérault|CA Hérault-Méditerranée</v>
      </c>
      <c r="O379" t="str">
        <f t="shared" si="22"/>
        <v>Province</v>
      </c>
    </row>
    <row r="380" spans="1:15" x14ac:dyDescent="0.25">
      <c r="A380" t="s">
        <v>835</v>
      </c>
      <c r="B380" t="str">
        <f t="shared" si="23"/>
        <v>Hérault</v>
      </c>
      <c r="C380" t="s">
        <v>901</v>
      </c>
      <c r="D380" t="s">
        <v>908</v>
      </c>
      <c r="E380">
        <v>243400520</v>
      </c>
      <c r="F380">
        <v>2024</v>
      </c>
      <c r="G380" t="s">
        <v>21</v>
      </c>
      <c r="H380" s="1">
        <v>9144</v>
      </c>
      <c r="I380" s="4">
        <v>12554</v>
      </c>
      <c r="J380" s="4">
        <v>17160</v>
      </c>
      <c r="K380" s="1">
        <f t="shared" si="24"/>
        <v>762</v>
      </c>
      <c r="L380" s="1">
        <f t="shared" si="24"/>
        <v>1046.1666666666667</v>
      </c>
      <c r="M380" s="1">
        <f t="shared" si="24"/>
        <v>1430</v>
      </c>
      <c r="N380" t="str">
        <f t="shared" si="21"/>
        <v>OCCITANIE|34 - Hérault|CA Lunel Agglo</v>
      </c>
      <c r="O380" t="str">
        <f t="shared" si="22"/>
        <v>Province</v>
      </c>
    </row>
    <row r="381" spans="1:15" x14ac:dyDescent="0.25">
      <c r="A381" t="s">
        <v>835</v>
      </c>
      <c r="B381" t="str">
        <f t="shared" si="23"/>
        <v>Hérault</v>
      </c>
      <c r="C381" t="s">
        <v>901</v>
      </c>
      <c r="D381" t="s">
        <v>910</v>
      </c>
      <c r="E381">
        <v>200066355</v>
      </c>
      <c r="F381">
        <v>2024</v>
      </c>
      <c r="G381" t="s">
        <v>21</v>
      </c>
      <c r="H381" s="1">
        <v>9163</v>
      </c>
      <c r="I381" s="4">
        <v>12840</v>
      </c>
      <c r="J381" s="4">
        <v>17850</v>
      </c>
      <c r="K381" s="1">
        <f t="shared" si="24"/>
        <v>763.58333333333337</v>
      </c>
      <c r="L381" s="1">
        <f t="shared" si="24"/>
        <v>1070</v>
      </c>
      <c r="M381" s="1">
        <f t="shared" si="24"/>
        <v>1487.5</v>
      </c>
      <c r="N381" t="str">
        <f t="shared" si="21"/>
        <v>OCCITANIE|34 - Hérault|CA Sète Agglopôle Méditerranée</v>
      </c>
      <c r="O381" t="str">
        <f t="shared" si="22"/>
        <v>Province</v>
      </c>
    </row>
    <row r="382" spans="1:15" x14ac:dyDescent="0.25">
      <c r="A382" t="s">
        <v>835</v>
      </c>
      <c r="B382" t="str">
        <f t="shared" si="23"/>
        <v>Hérault</v>
      </c>
      <c r="C382" t="s">
        <v>901</v>
      </c>
      <c r="D382" t="s">
        <v>912</v>
      </c>
      <c r="E382">
        <v>243400355</v>
      </c>
      <c r="F382">
        <v>2024</v>
      </c>
      <c r="G382" t="s">
        <v>21</v>
      </c>
      <c r="H382" s="1">
        <v>8492</v>
      </c>
      <c r="I382" s="4">
        <v>11936</v>
      </c>
      <c r="J382" s="4">
        <v>16380</v>
      </c>
      <c r="K382" s="1">
        <f t="shared" si="24"/>
        <v>707.66666666666663</v>
      </c>
      <c r="L382" s="1">
        <f t="shared" si="24"/>
        <v>994.66666666666663</v>
      </c>
      <c r="M382" s="1">
        <f t="shared" si="24"/>
        <v>1365</v>
      </c>
      <c r="N382" t="str">
        <f t="shared" si="21"/>
        <v>OCCITANIE|34 - Hérault|CC du Clermontais</v>
      </c>
      <c r="O382" t="str">
        <f t="shared" si="22"/>
        <v>Province</v>
      </c>
    </row>
    <row r="383" spans="1:15" x14ac:dyDescent="0.25">
      <c r="A383" t="s">
        <v>835</v>
      </c>
      <c r="B383" t="str">
        <f t="shared" si="23"/>
        <v>Hérault</v>
      </c>
      <c r="C383" t="s">
        <v>901</v>
      </c>
      <c r="D383" t="s">
        <v>914</v>
      </c>
      <c r="E383">
        <v>200022986</v>
      </c>
      <c r="F383">
        <v>2024</v>
      </c>
      <c r="G383" t="s">
        <v>21</v>
      </c>
      <c r="H383" s="1">
        <v>10993</v>
      </c>
      <c r="I383" s="4">
        <v>15308</v>
      </c>
      <c r="J383" s="4">
        <v>19833</v>
      </c>
      <c r="K383" s="1">
        <f t="shared" si="24"/>
        <v>916.08333333333337</v>
      </c>
      <c r="L383" s="1">
        <f t="shared" si="24"/>
        <v>1275.6666666666667</v>
      </c>
      <c r="M383" s="1">
        <f t="shared" si="24"/>
        <v>1652.75</v>
      </c>
      <c r="N383" t="str">
        <f t="shared" si="21"/>
        <v>OCCITANIE|34 - Hérault|CC du Grand Pic Saint-Loup</v>
      </c>
      <c r="O383" t="str">
        <f t="shared" si="22"/>
        <v>Province</v>
      </c>
    </row>
    <row r="384" spans="1:15" x14ac:dyDescent="0.25">
      <c r="A384" t="s">
        <v>835</v>
      </c>
      <c r="B384" t="str">
        <f t="shared" si="23"/>
        <v>Hérault</v>
      </c>
      <c r="C384" t="s">
        <v>901</v>
      </c>
      <c r="D384" t="s">
        <v>916</v>
      </c>
      <c r="E384">
        <v>200042646</v>
      </c>
      <c r="F384">
        <v>2024</v>
      </c>
      <c r="G384" t="s">
        <v>21</v>
      </c>
      <c r="H384" s="1">
        <v>7373</v>
      </c>
      <c r="I384" s="4">
        <v>11364</v>
      </c>
      <c r="J384" s="4">
        <v>14903</v>
      </c>
      <c r="K384" s="1">
        <f t="shared" si="24"/>
        <v>614.41666666666663</v>
      </c>
      <c r="L384" s="1">
        <f t="shared" si="24"/>
        <v>947</v>
      </c>
      <c r="M384" s="1">
        <f t="shared" si="24"/>
        <v>1241.9166666666667</v>
      </c>
      <c r="N384" t="str">
        <f t="shared" si="21"/>
        <v>OCCITANIE|34 - Hérault|CC Grand Orb Communauté de Communes en Languedoc</v>
      </c>
      <c r="O384" t="str">
        <f t="shared" si="22"/>
        <v>Province</v>
      </c>
    </row>
    <row r="385" spans="1:15" x14ac:dyDescent="0.25">
      <c r="A385" t="s">
        <v>835</v>
      </c>
      <c r="B385" t="str">
        <f t="shared" si="23"/>
        <v>Hérault</v>
      </c>
      <c r="C385" t="s">
        <v>901</v>
      </c>
      <c r="D385" t="s">
        <v>918</v>
      </c>
      <c r="E385">
        <v>200017341</v>
      </c>
      <c r="F385">
        <v>2024</v>
      </c>
      <c r="G385" t="s">
        <v>21</v>
      </c>
      <c r="H385" s="1">
        <v>7200</v>
      </c>
      <c r="I385" s="4">
        <v>11376</v>
      </c>
      <c r="J385" s="4">
        <v>14555</v>
      </c>
      <c r="K385" s="1">
        <f t="shared" si="24"/>
        <v>600</v>
      </c>
      <c r="L385" s="1">
        <f t="shared" si="24"/>
        <v>948</v>
      </c>
      <c r="M385" s="1">
        <f t="shared" si="24"/>
        <v>1212.9166666666667</v>
      </c>
      <c r="N385" t="str">
        <f t="shared" si="21"/>
        <v>OCCITANIE|34 - Hérault|CC Lodévois et Larzac</v>
      </c>
      <c r="O385" t="str">
        <f t="shared" si="22"/>
        <v>Province</v>
      </c>
    </row>
    <row r="386" spans="1:15" x14ac:dyDescent="0.25">
      <c r="A386" t="s">
        <v>835</v>
      </c>
      <c r="B386" t="str">
        <f t="shared" si="23"/>
        <v>Hérault</v>
      </c>
      <c r="C386" t="s">
        <v>901</v>
      </c>
      <c r="D386" t="s">
        <v>920</v>
      </c>
      <c r="E386">
        <v>243400017</v>
      </c>
      <c r="F386">
        <v>2024</v>
      </c>
      <c r="G386" t="s">
        <v>21</v>
      </c>
      <c r="H386" s="1">
        <v>9397</v>
      </c>
      <c r="I386" s="4">
        <v>13385</v>
      </c>
      <c r="J386" s="4">
        <v>18772</v>
      </c>
      <c r="K386" s="1">
        <f t="shared" si="24"/>
        <v>783.08333333333337</v>
      </c>
      <c r="L386" s="1">
        <f t="shared" si="24"/>
        <v>1115.4166666666667</v>
      </c>
      <c r="M386" s="1">
        <f t="shared" si="24"/>
        <v>1564.3333333333333</v>
      </c>
      <c r="N386" t="str">
        <f t="shared" ref="N386:N449" si="25">SUBSTITUTE(
   UPPER(SUBSTITUTE(TRIM(A386), CHAR(160), " ")) &amp; "|" &amp;
   SUBSTITUTE(TRIM(C386), CHAR(160), " ") &amp; "|" &amp;
   SUBSTITUTE(TRIM(D386), CHAR(160), " "),
   "–", "-"
)</f>
        <v>OCCITANIE|34 - Hérault|Montpellier Méditerranée Métropole</v>
      </c>
      <c r="O386" t="str">
        <f t="shared" ref="O386:O449" si="26">IF(A386="Hauts-de-France", "HDF",
IF(A386="Île-de-France", "IDF",
IF(OR(A386="Guadeloupe", A386="Martinique", A386="Guyane", A386="La Réunion", A386="Mayotte"), "OM", "Province")))</f>
        <v>Province</v>
      </c>
    </row>
    <row r="387" spans="1:15" x14ac:dyDescent="0.25">
      <c r="A387" t="s">
        <v>835</v>
      </c>
      <c r="B387" t="str">
        <f t="shared" ref="B387:B450" si="27">MID(C387,6,LEN(C387))</f>
        <v>Lot</v>
      </c>
      <c r="C387" t="s">
        <v>923</v>
      </c>
      <c r="D387" t="s">
        <v>924</v>
      </c>
      <c r="E387">
        <v>200023737</v>
      </c>
      <c r="F387">
        <v>2024</v>
      </c>
      <c r="G387" t="s">
        <v>21</v>
      </c>
      <c r="H387" s="1">
        <v>8152</v>
      </c>
      <c r="I387" s="4">
        <v>12177</v>
      </c>
      <c r="J387" s="4">
        <v>17170</v>
      </c>
      <c r="K387" s="1">
        <f t="shared" ref="K387:M450" si="28">H387/12</f>
        <v>679.33333333333337</v>
      </c>
      <c r="L387" s="1">
        <f t="shared" si="28"/>
        <v>1014.75</v>
      </c>
      <c r="M387" s="1">
        <f t="shared" si="28"/>
        <v>1430.8333333333333</v>
      </c>
      <c r="N387" t="str">
        <f t="shared" si="25"/>
        <v>OCCITANIE|46 - Lot|CA du Grand Cahors</v>
      </c>
      <c r="O387" t="str">
        <f t="shared" si="26"/>
        <v>Province</v>
      </c>
    </row>
    <row r="388" spans="1:15" x14ac:dyDescent="0.25">
      <c r="A388" t="s">
        <v>835</v>
      </c>
      <c r="B388" t="str">
        <f t="shared" si="27"/>
        <v>Lot</v>
      </c>
      <c r="C388" t="s">
        <v>923</v>
      </c>
      <c r="D388" t="s">
        <v>860</v>
      </c>
      <c r="E388">
        <v>200067361</v>
      </c>
      <c r="F388">
        <v>2024</v>
      </c>
      <c r="G388" t="s">
        <v>21</v>
      </c>
      <c r="H388" s="1">
        <v>8551</v>
      </c>
      <c r="I388" s="4">
        <v>11652</v>
      </c>
      <c r="J388" s="4">
        <v>15959</v>
      </c>
      <c r="K388" s="1">
        <f t="shared" si="28"/>
        <v>712.58333333333337</v>
      </c>
      <c r="L388" s="1">
        <f t="shared" si="28"/>
        <v>971</v>
      </c>
      <c r="M388" s="1">
        <f t="shared" si="28"/>
        <v>1329.9166666666667</v>
      </c>
      <c r="N388" t="str">
        <f t="shared" si="25"/>
        <v>OCCITANIE|46 - Lot|CC Grand-Figeac</v>
      </c>
      <c r="O388" t="str">
        <f t="shared" si="26"/>
        <v>Province</v>
      </c>
    </row>
    <row r="389" spans="1:15" x14ac:dyDescent="0.25">
      <c r="A389" t="s">
        <v>835</v>
      </c>
      <c r="B389" t="str">
        <f t="shared" si="27"/>
        <v>Lot</v>
      </c>
      <c r="C389" t="s">
        <v>923</v>
      </c>
      <c r="D389" t="s">
        <v>862</v>
      </c>
      <c r="E389">
        <v>200069383</v>
      </c>
      <c r="F389">
        <v>2024</v>
      </c>
      <c r="G389" t="s">
        <v>21</v>
      </c>
      <c r="H389" s="1">
        <v>7988</v>
      </c>
      <c r="I389" s="4">
        <v>11280</v>
      </c>
      <c r="J389" s="4">
        <v>14640</v>
      </c>
      <c r="K389" s="1">
        <f t="shared" si="28"/>
        <v>665.66666666666663</v>
      </c>
      <c r="L389" s="1">
        <f t="shared" si="28"/>
        <v>940</v>
      </c>
      <c r="M389" s="1">
        <f t="shared" si="28"/>
        <v>1220</v>
      </c>
      <c r="N389" t="str">
        <f t="shared" si="25"/>
        <v>OCCITANIE|46 - Lot|Ouest Aveyron Communauté</v>
      </c>
      <c r="O389" t="str">
        <f t="shared" si="26"/>
        <v>Province</v>
      </c>
    </row>
    <row r="390" spans="1:15" x14ac:dyDescent="0.25">
      <c r="A390" t="s">
        <v>835</v>
      </c>
      <c r="B390" t="str">
        <f t="shared" si="27"/>
        <v>Lozère</v>
      </c>
      <c r="C390" t="s">
        <v>927</v>
      </c>
      <c r="D390" t="s">
        <v>928</v>
      </c>
      <c r="E390">
        <v>244800405</v>
      </c>
      <c r="F390">
        <v>2024</v>
      </c>
      <c r="G390" t="s">
        <v>21</v>
      </c>
      <c r="H390" s="1">
        <v>8712</v>
      </c>
      <c r="I390" s="4">
        <v>13339</v>
      </c>
      <c r="J390" s="4">
        <v>19200</v>
      </c>
      <c r="K390" s="1">
        <f t="shared" si="28"/>
        <v>726</v>
      </c>
      <c r="L390" s="1">
        <f t="shared" si="28"/>
        <v>1111.5833333333333</v>
      </c>
      <c r="M390" s="1">
        <f t="shared" si="28"/>
        <v>1600</v>
      </c>
      <c r="N390" t="str">
        <f t="shared" si="25"/>
        <v>OCCITANIE|48 - Lozère|CC Coeur de Lozère</v>
      </c>
      <c r="O390" t="str">
        <f t="shared" si="26"/>
        <v>Province</v>
      </c>
    </row>
    <row r="391" spans="1:15" x14ac:dyDescent="0.25">
      <c r="A391" t="s">
        <v>835</v>
      </c>
      <c r="B391" t="str">
        <f t="shared" si="27"/>
        <v>Lozère</v>
      </c>
      <c r="C391" t="s">
        <v>927</v>
      </c>
      <c r="D391" t="s">
        <v>858</v>
      </c>
      <c r="E391">
        <v>241200567</v>
      </c>
      <c r="F391">
        <v>2024</v>
      </c>
      <c r="G391" t="s">
        <v>21</v>
      </c>
      <c r="H391" s="1">
        <v>8847</v>
      </c>
      <c r="I391" s="4">
        <v>12305</v>
      </c>
      <c r="J391" s="4">
        <v>16928</v>
      </c>
      <c r="K391" s="1">
        <f t="shared" si="28"/>
        <v>737.25</v>
      </c>
      <c r="L391" s="1">
        <f t="shared" si="28"/>
        <v>1025.4166666666667</v>
      </c>
      <c r="M391" s="1">
        <f t="shared" si="28"/>
        <v>1410.6666666666667</v>
      </c>
      <c r="N391" t="str">
        <f t="shared" si="25"/>
        <v>OCCITANIE|48 - Lozère|CC de Millau Grands Causses</v>
      </c>
      <c r="O391" t="str">
        <f t="shared" si="26"/>
        <v>Province</v>
      </c>
    </row>
    <row r="392" spans="1:15" x14ac:dyDescent="0.25">
      <c r="A392" t="s">
        <v>835</v>
      </c>
      <c r="B392" t="str">
        <f t="shared" si="27"/>
        <v>Hautes-Pyrénées</v>
      </c>
      <c r="C392" t="s">
        <v>931</v>
      </c>
      <c r="D392" t="s">
        <v>932</v>
      </c>
      <c r="E392">
        <v>200069300</v>
      </c>
      <c r="F392">
        <v>2024</v>
      </c>
      <c r="G392" t="s">
        <v>21</v>
      </c>
      <c r="H392" s="1">
        <v>8583</v>
      </c>
      <c r="I392" s="4">
        <v>11888</v>
      </c>
      <c r="J392" s="4">
        <v>16607</v>
      </c>
      <c r="K392" s="1">
        <f t="shared" si="28"/>
        <v>715.25</v>
      </c>
      <c r="L392" s="1">
        <f t="shared" si="28"/>
        <v>990.66666666666663</v>
      </c>
      <c r="M392" s="1">
        <f t="shared" si="28"/>
        <v>1383.9166666666667</v>
      </c>
      <c r="N392" t="str">
        <f t="shared" si="25"/>
        <v>OCCITANIE|65 - Hautes-Pyrénées|CA Tarbes-Lourdes-Pyrénées</v>
      </c>
      <c r="O392" t="str">
        <f t="shared" si="26"/>
        <v>Province</v>
      </c>
    </row>
    <row r="393" spans="1:15" x14ac:dyDescent="0.25">
      <c r="A393" t="s">
        <v>835</v>
      </c>
      <c r="B393" t="str">
        <f t="shared" si="27"/>
        <v>Pyrénées Orientales</v>
      </c>
      <c r="C393" t="s">
        <v>935</v>
      </c>
      <c r="D393" t="s">
        <v>936</v>
      </c>
      <c r="E393">
        <v>200043602</v>
      </c>
      <c r="F393">
        <v>2024</v>
      </c>
      <c r="G393" t="s">
        <v>21</v>
      </c>
      <c r="H393" s="1">
        <v>8663</v>
      </c>
      <c r="I393" s="4">
        <v>12240</v>
      </c>
      <c r="J393" s="4">
        <v>17004</v>
      </c>
      <c r="K393" s="1">
        <f t="shared" si="28"/>
        <v>721.91666666666663</v>
      </c>
      <c r="L393" s="1">
        <f t="shared" si="28"/>
        <v>1020</v>
      </c>
      <c r="M393" s="1">
        <f t="shared" si="28"/>
        <v>1417</v>
      </c>
      <c r="N393" t="str">
        <f t="shared" si="25"/>
        <v>OCCITANIE|66 - Pyrénées Orientales|CC des Albères, de la Côte Vermeille et de l'Illibéris</v>
      </c>
      <c r="O393" t="str">
        <f t="shared" si="26"/>
        <v>Province</v>
      </c>
    </row>
    <row r="394" spans="1:15" x14ac:dyDescent="0.25">
      <c r="A394" t="s">
        <v>835</v>
      </c>
      <c r="B394" t="str">
        <f t="shared" si="27"/>
        <v>Pyrénées Orientales</v>
      </c>
      <c r="C394" t="s">
        <v>935</v>
      </c>
      <c r="D394" t="s">
        <v>938</v>
      </c>
      <c r="E394">
        <v>200027183</v>
      </c>
      <c r="F394">
        <v>2024</v>
      </c>
      <c r="G394" t="s">
        <v>21</v>
      </c>
      <c r="H394" s="1">
        <v>7940</v>
      </c>
      <c r="I394" s="4">
        <v>11652</v>
      </c>
      <c r="J394" s="4">
        <v>16200</v>
      </c>
      <c r="K394" s="1">
        <f t="shared" si="28"/>
        <v>661.66666666666663</v>
      </c>
      <c r="L394" s="1">
        <f t="shared" si="28"/>
        <v>971</v>
      </c>
      <c r="M394" s="1">
        <f t="shared" si="28"/>
        <v>1350</v>
      </c>
      <c r="N394" t="str">
        <f t="shared" si="25"/>
        <v>OCCITANIE|66 - Pyrénées Orientales|CU Perpignan Méditerranée Métropole</v>
      </c>
      <c r="O394" t="str">
        <f t="shared" si="26"/>
        <v>Province</v>
      </c>
    </row>
    <row r="395" spans="1:15" x14ac:dyDescent="0.25">
      <c r="A395" t="s">
        <v>835</v>
      </c>
      <c r="B395" t="str">
        <f t="shared" si="27"/>
        <v>Tarn</v>
      </c>
      <c r="C395" t="s">
        <v>941</v>
      </c>
      <c r="D395" t="s">
        <v>942</v>
      </c>
      <c r="E395">
        <v>248100430</v>
      </c>
      <c r="F395">
        <v>2024</v>
      </c>
      <c r="G395" t="s">
        <v>21</v>
      </c>
      <c r="H395" s="1">
        <v>7372</v>
      </c>
      <c r="I395" s="4">
        <v>11027</v>
      </c>
      <c r="J395" s="4">
        <v>14562</v>
      </c>
      <c r="K395" s="1">
        <f t="shared" si="28"/>
        <v>614.33333333333337</v>
      </c>
      <c r="L395" s="1">
        <f t="shared" si="28"/>
        <v>918.91666666666663</v>
      </c>
      <c r="M395" s="1">
        <f t="shared" si="28"/>
        <v>1213.5</v>
      </c>
      <c r="N395" t="str">
        <f t="shared" si="25"/>
        <v>OCCITANIE|81 - Tarn|CA de Castres Mazamet</v>
      </c>
      <c r="O395" t="str">
        <f t="shared" si="26"/>
        <v>Province</v>
      </c>
    </row>
    <row r="396" spans="1:15" x14ac:dyDescent="0.25">
      <c r="A396" t="s">
        <v>835</v>
      </c>
      <c r="B396" t="str">
        <f t="shared" si="27"/>
        <v>Tarn</v>
      </c>
      <c r="C396" t="s">
        <v>941</v>
      </c>
      <c r="D396" t="s">
        <v>944</v>
      </c>
      <c r="E396">
        <v>248100737</v>
      </c>
      <c r="F396">
        <v>2024</v>
      </c>
      <c r="G396" t="s">
        <v>21</v>
      </c>
      <c r="H396" s="1">
        <v>8093</v>
      </c>
      <c r="I396" s="4">
        <v>11652</v>
      </c>
      <c r="J396" s="4">
        <v>15778</v>
      </c>
      <c r="K396" s="1">
        <f t="shared" si="28"/>
        <v>674.41666666666663</v>
      </c>
      <c r="L396" s="1">
        <f t="shared" si="28"/>
        <v>971</v>
      </c>
      <c r="M396" s="1">
        <f t="shared" si="28"/>
        <v>1314.8333333333333</v>
      </c>
      <c r="N396" t="str">
        <f t="shared" si="25"/>
        <v>OCCITANIE|81 - Tarn|CA de l'Albigeois (C2A)</v>
      </c>
      <c r="O396" t="str">
        <f t="shared" si="26"/>
        <v>Province</v>
      </c>
    </row>
    <row r="397" spans="1:15" x14ac:dyDescent="0.25">
      <c r="A397" t="s">
        <v>835</v>
      </c>
      <c r="B397" t="str">
        <f t="shared" si="27"/>
        <v>Tarn</v>
      </c>
      <c r="C397" t="s">
        <v>941</v>
      </c>
      <c r="D397" t="s">
        <v>946</v>
      </c>
      <c r="E397">
        <v>200066124</v>
      </c>
      <c r="F397">
        <v>2024</v>
      </c>
      <c r="G397" t="s">
        <v>21</v>
      </c>
      <c r="H397" s="1">
        <v>8332</v>
      </c>
      <c r="I397" s="4">
        <v>11613</v>
      </c>
      <c r="J397" s="4">
        <v>15703</v>
      </c>
      <c r="K397" s="1">
        <f t="shared" si="28"/>
        <v>694.33333333333337</v>
      </c>
      <c r="L397" s="1">
        <f t="shared" si="28"/>
        <v>967.75</v>
      </c>
      <c r="M397" s="1">
        <f t="shared" si="28"/>
        <v>1308.5833333333333</v>
      </c>
      <c r="N397" t="str">
        <f t="shared" si="25"/>
        <v>OCCITANIE|81 - Tarn|CA Gaillac-Graulhet</v>
      </c>
      <c r="O397" t="str">
        <f t="shared" si="26"/>
        <v>Province</v>
      </c>
    </row>
    <row r="398" spans="1:15" x14ac:dyDescent="0.25">
      <c r="A398" t="s">
        <v>835</v>
      </c>
      <c r="B398" t="str">
        <f t="shared" si="27"/>
        <v>Tarn</v>
      </c>
      <c r="C398" t="s">
        <v>941</v>
      </c>
      <c r="D398" t="s">
        <v>948</v>
      </c>
      <c r="E398">
        <v>200040905</v>
      </c>
      <c r="F398">
        <v>2024</v>
      </c>
      <c r="G398" t="s">
        <v>21</v>
      </c>
      <c r="H398" s="1">
        <v>8078</v>
      </c>
      <c r="I398" s="4">
        <v>11652</v>
      </c>
      <c r="J398" s="4">
        <v>15600</v>
      </c>
      <c r="K398" s="1">
        <f t="shared" si="28"/>
        <v>673.16666666666663</v>
      </c>
      <c r="L398" s="1">
        <f t="shared" si="28"/>
        <v>971</v>
      </c>
      <c r="M398" s="1">
        <f t="shared" si="28"/>
        <v>1300</v>
      </c>
      <c r="N398" t="str">
        <f t="shared" si="25"/>
        <v>OCCITANIE|81 - Tarn|CC Carmausin-Ségala</v>
      </c>
      <c r="O398" t="str">
        <f t="shared" si="26"/>
        <v>Province</v>
      </c>
    </row>
    <row r="399" spans="1:15" x14ac:dyDescent="0.25">
      <c r="A399" t="s">
        <v>835</v>
      </c>
      <c r="B399" t="str">
        <f t="shared" si="27"/>
        <v>Tarn</v>
      </c>
      <c r="C399" t="s">
        <v>941</v>
      </c>
      <c r="D399" t="s">
        <v>890</v>
      </c>
      <c r="E399">
        <v>200034023</v>
      </c>
      <c r="F399">
        <v>2024</v>
      </c>
      <c r="G399" t="s">
        <v>21</v>
      </c>
      <c r="H399" s="1">
        <v>9120</v>
      </c>
      <c r="I399" s="4">
        <v>12144</v>
      </c>
      <c r="J399" s="4">
        <v>16985</v>
      </c>
      <c r="K399" s="1">
        <f t="shared" si="28"/>
        <v>760</v>
      </c>
      <c r="L399" s="1">
        <f t="shared" si="28"/>
        <v>1012</v>
      </c>
      <c r="M399" s="1">
        <f t="shared" si="28"/>
        <v>1415.4166666666667</v>
      </c>
      <c r="N399" t="str">
        <f t="shared" si="25"/>
        <v>OCCITANIE|81 - Tarn|CC Tarn-Agout</v>
      </c>
      <c r="O399" t="str">
        <f t="shared" si="26"/>
        <v>Province</v>
      </c>
    </row>
    <row r="400" spans="1:15" x14ac:dyDescent="0.25">
      <c r="A400" t="s">
        <v>835</v>
      </c>
      <c r="B400" t="str">
        <f t="shared" si="27"/>
        <v>Tarn-et-Garonne</v>
      </c>
      <c r="C400" t="s">
        <v>951</v>
      </c>
      <c r="D400" t="s">
        <v>952</v>
      </c>
      <c r="E400">
        <v>248200099</v>
      </c>
      <c r="F400">
        <v>2024</v>
      </c>
      <c r="G400" t="s">
        <v>21</v>
      </c>
      <c r="H400" s="1">
        <v>8717</v>
      </c>
      <c r="I400" s="4">
        <v>12396</v>
      </c>
      <c r="J400" s="4">
        <v>17166</v>
      </c>
      <c r="K400" s="1">
        <f t="shared" si="28"/>
        <v>726.41666666666663</v>
      </c>
      <c r="L400" s="1">
        <f t="shared" si="28"/>
        <v>1033</v>
      </c>
      <c r="M400" s="1">
        <f t="shared" si="28"/>
        <v>1430.5</v>
      </c>
      <c r="N400" t="str">
        <f t="shared" si="25"/>
        <v>OCCITANIE|82 - Tarn-et-Garonne|CA Grand Montauban</v>
      </c>
      <c r="O400" t="str">
        <f t="shared" si="26"/>
        <v>Province</v>
      </c>
    </row>
    <row r="401" spans="1:15" x14ac:dyDescent="0.25">
      <c r="A401" t="s">
        <v>835</v>
      </c>
      <c r="B401" t="str">
        <f t="shared" si="27"/>
        <v>Tarn-et-Garonne</v>
      </c>
      <c r="C401" t="s">
        <v>951</v>
      </c>
      <c r="D401" t="s">
        <v>954</v>
      </c>
      <c r="E401">
        <v>200066322</v>
      </c>
      <c r="F401">
        <v>2024</v>
      </c>
      <c r="G401" t="s">
        <v>21</v>
      </c>
      <c r="H401" s="1">
        <v>7867</v>
      </c>
      <c r="I401" s="4">
        <v>11472</v>
      </c>
      <c r="J401" s="4">
        <v>14969</v>
      </c>
      <c r="K401" s="1">
        <f t="shared" si="28"/>
        <v>655.58333333333337</v>
      </c>
      <c r="L401" s="1">
        <f t="shared" si="28"/>
        <v>956</v>
      </c>
      <c r="M401" s="1">
        <f t="shared" si="28"/>
        <v>1247.4166666666667</v>
      </c>
      <c r="N401" t="str">
        <f t="shared" si="25"/>
        <v>OCCITANIE|82 - Tarn-et-Garonne|CC Terres des Confluences</v>
      </c>
      <c r="O401" t="str">
        <f t="shared" si="26"/>
        <v>Province</v>
      </c>
    </row>
    <row r="402" spans="1:15" x14ac:dyDescent="0.25">
      <c r="A402" t="s">
        <v>956</v>
      </c>
      <c r="B402" t="str">
        <f t="shared" si="27"/>
        <v>Loire-Atlantique</v>
      </c>
      <c r="C402" t="s">
        <v>958</v>
      </c>
      <c r="D402" t="s">
        <v>959</v>
      </c>
      <c r="E402">
        <v>200067635</v>
      </c>
      <c r="F402">
        <v>2024</v>
      </c>
      <c r="G402" t="s">
        <v>21</v>
      </c>
      <c r="H402" s="1">
        <v>11514</v>
      </c>
      <c r="I402" s="4">
        <v>15752</v>
      </c>
      <c r="J402" s="4">
        <v>19320</v>
      </c>
      <c r="K402" s="1">
        <f t="shared" si="28"/>
        <v>959.5</v>
      </c>
      <c r="L402" s="1">
        <f t="shared" si="28"/>
        <v>1312.6666666666667</v>
      </c>
      <c r="M402" s="1">
        <f t="shared" si="28"/>
        <v>1610</v>
      </c>
      <c r="N402" t="str">
        <f t="shared" si="25"/>
        <v>PAYS DE LA LOIRE|44 - Loire-Atlantique|CA Clisson Sèvre et Maine Agglo</v>
      </c>
      <c r="O402" t="str">
        <f t="shared" si="26"/>
        <v>Province</v>
      </c>
    </row>
    <row r="403" spans="1:15" x14ac:dyDescent="0.25">
      <c r="A403" t="s">
        <v>956</v>
      </c>
      <c r="B403" t="str">
        <f t="shared" si="27"/>
        <v>Loire-Atlantique</v>
      </c>
      <c r="C403" t="s">
        <v>958</v>
      </c>
      <c r="D403" t="s">
        <v>252</v>
      </c>
      <c r="E403">
        <v>244400610</v>
      </c>
      <c r="F403">
        <v>2024</v>
      </c>
      <c r="G403" t="s">
        <v>21</v>
      </c>
      <c r="H403" s="1">
        <v>11562</v>
      </c>
      <c r="I403" s="4">
        <v>15714</v>
      </c>
      <c r="J403" s="4">
        <v>19920</v>
      </c>
      <c r="K403" s="1">
        <f t="shared" si="28"/>
        <v>963.5</v>
      </c>
      <c r="L403" s="1">
        <f t="shared" si="28"/>
        <v>1309.5</v>
      </c>
      <c r="M403" s="1">
        <f t="shared" si="28"/>
        <v>1660</v>
      </c>
      <c r="N403" t="str">
        <f t="shared" si="25"/>
        <v>PAYS DE LA LOIRE|44 - Loire-Atlantique|CA de la Presqu'île de Guérande Atlantique (Cap Atlantique)</v>
      </c>
      <c r="O403" t="str">
        <f t="shared" si="26"/>
        <v>Province</v>
      </c>
    </row>
    <row r="404" spans="1:15" x14ac:dyDescent="0.25">
      <c r="A404" t="s">
        <v>956</v>
      </c>
      <c r="B404" t="str">
        <f t="shared" si="27"/>
        <v>Loire-Atlantique</v>
      </c>
      <c r="C404" t="s">
        <v>958</v>
      </c>
      <c r="D404" t="s">
        <v>961</v>
      </c>
      <c r="E404">
        <v>244400644</v>
      </c>
      <c r="F404">
        <v>2024</v>
      </c>
      <c r="G404" t="s">
        <v>21</v>
      </c>
      <c r="H404" s="1">
        <v>10836</v>
      </c>
      <c r="I404" s="4">
        <v>14909</v>
      </c>
      <c r="J404" s="4">
        <v>19764</v>
      </c>
      <c r="K404" s="1">
        <f t="shared" si="28"/>
        <v>903</v>
      </c>
      <c r="L404" s="1">
        <f t="shared" si="28"/>
        <v>1242.4166666666667</v>
      </c>
      <c r="M404" s="1">
        <f t="shared" si="28"/>
        <v>1647</v>
      </c>
      <c r="N404" t="str">
        <f t="shared" si="25"/>
        <v>PAYS DE LA LOIRE|44 - Loire-Atlantique|CA de la Région Nazairienne et de l'Estuaire (CARENE)</v>
      </c>
      <c r="O404" t="str">
        <f t="shared" si="26"/>
        <v>Province</v>
      </c>
    </row>
    <row r="405" spans="1:15" x14ac:dyDescent="0.25">
      <c r="A405" t="s">
        <v>956</v>
      </c>
      <c r="B405" t="str">
        <f t="shared" si="27"/>
        <v>Loire-Atlantique</v>
      </c>
      <c r="C405" t="s">
        <v>958</v>
      </c>
      <c r="D405" t="s">
        <v>963</v>
      </c>
      <c r="E405">
        <v>200067346</v>
      </c>
      <c r="F405">
        <v>2024</v>
      </c>
      <c r="G405" t="s">
        <v>21</v>
      </c>
      <c r="H405" s="1">
        <v>11404</v>
      </c>
      <c r="I405" s="4">
        <v>14454</v>
      </c>
      <c r="J405" s="4">
        <v>19200</v>
      </c>
      <c r="K405" s="1">
        <f t="shared" si="28"/>
        <v>950.33333333333337</v>
      </c>
      <c r="L405" s="1">
        <f t="shared" si="28"/>
        <v>1204.5</v>
      </c>
      <c r="M405" s="1">
        <f t="shared" si="28"/>
        <v>1600</v>
      </c>
      <c r="N405" t="str">
        <f t="shared" si="25"/>
        <v>PAYS DE LA LOIRE|44 - Loire-Atlantique|CA Pornic Agglo Pays de Retz</v>
      </c>
      <c r="O405" t="str">
        <f t="shared" si="26"/>
        <v>Province</v>
      </c>
    </row>
    <row r="406" spans="1:15" x14ac:dyDescent="0.25">
      <c r="A406" t="s">
        <v>956</v>
      </c>
      <c r="B406" t="str">
        <f t="shared" si="27"/>
        <v>Loire-Atlantique</v>
      </c>
      <c r="C406" t="s">
        <v>958</v>
      </c>
      <c r="D406" t="s">
        <v>244</v>
      </c>
      <c r="E406">
        <v>243500741</v>
      </c>
      <c r="F406">
        <v>2024</v>
      </c>
      <c r="G406" t="s">
        <v>21</v>
      </c>
      <c r="H406" s="1">
        <v>9360</v>
      </c>
      <c r="I406" s="4">
        <v>12167</v>
      </c>
      <c r="J406" s="4">
        <v>16685</v>
      </c>
      <c r="K406" s="1">
        <f t="shared" si="28"/>
        <v>780</v>
      </c>
      <c r="L406" s="1">
        <f t="shared" si="28"/>
        <v>1013.9166666666666</v>
      </c>
      <c r="M406" s="1">
        <f t="shared" si="28"/>
        <v>1390.4166666666667</v>
      </c>
      <c r="N406" t="str">
        <f t="shared" si="25"/>
        <v>PAYS DE LA LOIRE|44 - Loire-Atlantique|CA Redon Agglomération</v>
      </c>
      <c r="O406" t="str">
        <f t="shared" si="26"/>
        <v>Province</v>
      </c>
    </row>
    <row r="407" spans="1:15" x14ac:dyDescent="0.25">
      <c r="A407" t="s">
        <v>956</v>
      </c>
      <c r="B407" t="str">
        <f t="shared" si="27"/>
        <v>Loire-Atlantique</v>
      </c>
      <c r="C407" t="s">
        <v>958</v>
      </c>
      <c r="D407" t="s">
        <v>965</v>
      </c>
      <c r="E407">
        <v>200072726</v>
      </c>
      <c r="F407">
        <v>2024</v>
      </c>
      <c r="G407" t="s">
        <v>21</v>
      </c>
      <c r="H407" s="1">
        <v>9927</v>
      </c>
      <c r="I407" s="4">
        <v>12797</v>
      </c>
      <c r="J407" s="4">
        <v>17227</v>
      </c>
      <c r="K407" s="1">
        <f t="shared" si="28"/>
        <v>827.25</v>
      </c>
      <c r="L407" s="1">
        <f t="shared" si="28"/>
        <v>1066.4166666666667</v>
      </c>
      <c r="M407" s="1">
        <f t="shared" si="28"/>
        <v>1435.5833333333333</v>
      </c>
      <c r="N407" t="str">
        <f t="shared" si="25"/>
        <v>PAYS DE LA LOIRE|44 - Loire-Atlantique|CC Châteaubriant-Derval</v>
      </c>
      <c r="O407" t="str">
        <f t="shared" si="26"/>
        <v>Province</v>
      </c>
    </row>
    <row r="408" spans="1:15" x14ac:dyDescent="0.25">
      <c r="A408" t="s">
        <v>956</v>
      </c>
      <c r="B408" t="str">
        <f t="shared" si="27"/>
        <v>Loire-Atlantique</v>
      </c>
      <c r="C408" t="s">
        <v>958</v>
      </c>
      <c r="D408" t="s">
        <v>967</v>
      </c>
      <c r="E408">
        <v>244400503</v>
      </c>
      <c r="F408">
        <v>2024</v>
      </c>
      <c r="G408" t="s">
        <v>21</v>
      </c>
      <c r="H408" s="1">
        <v>11652</v>
      </c>
      <c r="I408" s="4">
        <v>15543</v>
      </c>
      <c r="J408" s="4">
        <v>19812</v>
      </c>
      <c r="K408" s="1">
        <f t="shared" si="28"/>
        <v>971</v>
      </c>
      <c r="L408" s="1">
        <f t="shared" si="28"/>
        <v>1295.25</v>
      </c>
      <c r="M408" s="1">
        <f t="shared" si="28"/>
        <v>1651</v>
      </c>
      <c r="N408" t="str">
        <f t="shared" si="25"/>
        <v>PAYS DE LA LOIRE|44 - Loire-Atlantique|CC d'Erdre et Gesvres</v>
      </c>
      <c r="O408" t="str">
        <f t="shared" si="26"/>
        <v>Province</v>
      </c>
    </row>
    <row r="409" spans="1:15" x14ac:dyDescent="0.25">
      <c r="A409" t="s">
        <v>956</v>
      </c>
      <c r="B409" t="str">
        <f t="shared" si="27"/>
        <v>Loire-Atlantique</v>
      </c>
      <c r="C409" t="s">
        <v>958</v>
      </c>
      <c r="D409" t="s">
        <v>969</v>
      </c>
      <c r="E409">
        <v>244400552</v>
      </c>
      <c r="F409">
        <v>2024</v>
      </c>
      <c r="G409" t="s">
        <v>21</v>
      </c>
      <c r="H409" s="1">
        <v>10986</v>
      </c>
      <c r="I409" s="4">
        <v>14448</v>
      </c>
      <c r="J409" s="4">
        <v>18600</v>
      </c>
      <c r="K409" s="1">
        <f t="shared" si="28"/>
        <v>915.5</v>
      </c>
      <c r="L409" s="1">
        <f t="shared" si="28"/>
        <v>1204</v>
      </c>
      <c r="M409" s="1">
        <f t="shared" si="28"/>
        <v>1550</v>
      </c>
      <c r="N409" t="str">
        <f t="shared" si="25"/>
        <v>PAYS DE LA LOIRE|44 - Loire-Atlantique|CC du Pays d'Ancenis</v>
      </c>
      <c r="O409" t="str">
        <f t="shared" si="26"/>
        <v>Province</v>
      </c>
    </row>
    <row r="410" spans="1:15" x14ac:dyDescent="0.25">
      <c r="A410" t="s">
        <v>956</v>
      </c>
      <c r="B410" t="str">
        <f t="shared" si="27"/>
        <v>Loire-Atlantique</v>
      </c>
      <c r="C410" t="s">
        <v>958</v>
      </c>
      <c r="D410" t="s">
        <v>971</v>
      </c>
      <c r="E410">
        <v>200000438</v>
      </c>
      <c r="F410">
        <v>2024</v>
      </c>
      <c r="G410" t="s">
        <v>21</v>
      </c>
      <c r="H410" s="1">
        <v>11145</v>
      </c>
      <c r="I410" s="4">
        <v>14137</v>
      </c>
      <c r="J410" s="4">
        <v>18639</v>
      </c>
      <c r="K410" s="1">
        <f t="shared" si="28"/>
        <v>928.75</v>
      </c>
      <c r="L410" s="1">
        <f t="shared" si="28"/>
        <v>1178.0833333333333</v>
      </c>
      <c r="M410" s="1">
        <f t="shared" si="28"/>
        <v>1553.25</v>
      </c>
      <c r="N410" t="str">
        <f t="shared" si="25"/>
        <v>PAYS DE LA LOIRE|44 - Loire-Atlantique|CC du Pays de Pontchâteau St-Gildas-des-Bois</v>
      </c>
      <c r="O410" t="str">
        <f t="shared" si="26"/>
        <v>Province</v>
      </c>
    </row>
    <row r="411" spans="1:15" x14ac:dyDescent="0.25">
      <c r="A411" t="s">
        <v>956</v>
      </c>
      <c r="B411" t="str">
        <f t="shared" si="27"/>
        <v>Loire-Atlantique</v>
      </c>
      <c r="C411" t="s">
        <v>958</v>
      </c>
      <c r="D411" t="s">
        <v>973</v>
      </c>
      <c r="E411">
        <v>244400586</v>
      </c>
      <c r="F411">
        <v>2024</v>
      </c>
      <c r="G411" t="s">
        <v>21</v>
      </c>
      <c r="H411" s="1">
        <v>11496</v>
      </c>
      <c r="I411" s="4">
        <v>15158</v>
      </c>
      <c r="J411" s="4">
        <v>19113</v>
      </c>
      <c r="K411" s="1">
        <f t="shared" si="28"/>
        <v>958</v>
      </c>
      <c r="L411" s="1">
        <f t="shared" si="28"/>
        <v>1263.1666666666667</v>
      </c>
      <c r="M411" s="1">
        <f t="shared" si="28"/>
        <v>1592.75</v>
      </c>
      <c r="N411" t="str">
        <f t="shared" si="25"/>
        <v>PAYS DE LA LOIRE|44 - Loire-Atlantique|CC du Sud Estuaire</v>
      </c>
      <c r="O411" t="str">
        <f t="shared" si="26"/>
        <v>Province</v>
      </c>
    </row>
    <row r="412" spans="1:15" x14ac:dyDescent="0.25">
      <c r="A412" t="s">
        <v>956</v>
      </c>
      <c r="B412" t="str">
        <f t="shared" si="27"/>
        <v>Loire-Atlantique</v>
      </c>
      <c r="C412" t="s">
        <v>958</v>
      </c>
      <c r="D412" t="s">
        <v>975</v>
      </c>
      <c r="E412">
        <v>244400404</v>
      </c>
      <c r="F412">
        <v>2024</v>
      </c>
      <c r="G412" t="s">
        <v>21</v>
      </c>
      <c r="H412" s="1">
        <v>10740</v>
      </c>
      <c r="I412" s="4">
        <v>14868</v>
      </c>
      <c r="J412" s="4">
        <v>19545</v>
      </c>
      <c r="K412" s="1">
        <f t="shared" si="28"/>
        <v>895</v>
      </c>
      <c r="L412" s="1">
        <f t="shared" si="28"/>
        <v>1239</v>
      </c>
      <c r="M412" s="1">
        <f t="shared" si="28"/>
        <v>1628.75</v>
      </c>
      <c r="N412" t="str">
        <f t="shared" si="25"/>
        <v>PAYS DE LA LOIRE|44 - Loire-Atlantique|Nantes Métropole</v>
      </c>
      <c r="O412" t="str">
        <f t="shared" si="26"/>
        <v>Province</v>
      </c>
    </row>
    <row r="413" spans="1:15" x14ac:dyDescent="0.25">
      <c r="A413" t="s">
        <v>956</v>
      </c>
      <c r="B413" t="str">
        <f t="shared" si="27"/>
        <v>Maine-et-Loire</v>
      </c>
      <c r="C413" t="s">
        <v>978</v>
      </c>
      <c r="D413" t="s">
        <v>979</v>
      </c>
      <c r="E413">
        <v>200071678</v>
      </c>
      <c r="F413">
        <v>2024</v>
      </c>
      <c r="G413" t="s">
        <v>21</v>
      </c>
      <c r="H413" s="1">
        <v>10836</v>
      </c>
      <c r="I413" s="4">
        <v>14717</v>
      </c>
      <c r="J413" s="4">
        <v>19024</v>
      </c>
      <c r="K413" s="1">
        <f t="shared" si="28"/>
        <v>903</v>
      </c>
      <c r="L413" s="1">
        <f t="shared" si="28"/>
        <v>1226.4166666666667</v>
      </c>
      <c r="M413" s="1">
        <f t="shared" si="28"/>
        <v>1585.3333333333333</v>
      </c>
      <c r="N413" t="str">
        <f t="shared" si="25"/>
        <v>PAYS DE LA LOIRE|49 - Maine-et-Loire|CA Cholet Agglomération</v>
      </c>
      <c r="O413" t="str">
        <f t="shared" si="26"/>
        <v>Province</v>
      </c>
    </row>
    <row r="414" spans="1:15" x14ac:dyDescent="0.25">
      <c r="A414" t="s">
        <v>956</v>
      </c>
      <c r="B414" t="str">
        <f t="shared" si="27"/>
        <v>Maine-et-Loire</v>
      </c>
      <c r="C414" t="s">
        <v>978</v>
      </c>
      <c r="D414" t="s">
        <v>981</v>
      </c>
      <c r="E414">
        <v>200060010</v>
      </c>
      <c r="F414">
        <v>2024</v>
      </c>
      <c r="G414" t="s">
        <v>21</v>
      </c>
      <c r="H414" s="1">
        <v>11270</v>
      </c>
      <c r="I414" s="4">
        <v>15277</v>
      </c>
      <c r="J414" s="4">
        <v>19200</v>
      </c>
      <c r="K414" s="1">
        <f t="shared" si="28"/>
        <v>939.16666666666663</v>
      </c>
      <c r="L414" s="1">
        <f t="shared" si="28"/>
        <v>1273.0833333333333</v>
      </c>
      <c r="M414" s="1">
        <f t="shared" si="28"/>
        <v>1600</v>
      </c>
      <c r="N414" t="str">
        <f t="shared" si="25"/>
        <v>PAYS DE LA LOIRE|49 - Maine-et-Loire|CA Mauges Communauté</v>
      </c>
      <c r="O414" t="str">
        <f t="shared" si="26"/>
        <v>Province</v>
      </c>
    </row>
    <row r="415" spans="1:15" x14ac:dyDescent="0.25">
      <c r="A415" t="s">
        <v>956</v>
      </c>
      <c r="B415" t="str">
        <f t="shared" si="27"/>
        <v>Maine-et-Loire</v>
      </c>
      <c r="C415" t="s">
        <v>978</v>
      </c>
      <c r="D415" t="s">
        <v>983</v>
      </c>
      <c r="E415">
        <v>200071876</v>
      </c>
      <c r="F415">
        <v>2024</v>
      </c>
      <c r="G415" t="s">
        <v>21</v>
      </c>
      <c r="H415" s="1">
        <v>10000</v>
      </c>
      <c r="I415" s="4">
        <v>13500</v>
      </c>
      <c r="J415" s="4">
        <v>18161</v>
      </c>
      <c r="K415" s="1">
        <f t="shared" si="28"/>
        <v>833.33333333333337</v>
      </c>
      <c r="L415" s="1">
        <f t="shared" si="28"/>
        <v>1125</v>
      </c>
      <c r="M415" s="1">
        <f t="shared" si="28"/>
        <v>1513.4166666666667</v>
      </c>
      <c r="N415" t="str">
        <f t="shared" si="25"/>
        <v>PAYS DE LA LOIRE|49 - Maine-et-Loire|CA Saumur Val de Loire</v>
      </c>
      <c r="O415" t="str">
        <f t="shared" si="26"/>
        <v>Province</v>
      </c>
    </row>
    <row r="416" spans="1:15" x14ac:dyDescent="0.25">
      <c r="A416" t="s">
        <v>956</v>
      </c>
      <c r="B416" t="str">
        <f t="shared" si="27"/>
        <v>Maine-et-Loire</v>
      </c>
      <c r="C416" t="s">
        <v>978</v>
      </c>
      <c r="D416" t="s">
        <v>985</v>
      </c>
      <c r="E416">
        <v>244900809</v>
      </c>
      <c r="F416">
        <v>2024</v>
      </c>
      <c r="G416" t="s">
        <v>21</v>
      </c>
      <c r="H416" s="1">
        <v>10369</v>
      </c>
      <c r="I416" s="4">
        <v>13542</v>
      </c>
      <c r="J416" s="4">
        <v>18394</v>
      </c>
      <c r="K416" s="1">
        <f t="shared" si="28"/>
        <v>864.08333333333337</v>
      </c>
      <c r="L416" s="1">
        <f t="shared" si="28"/>
        <v>1128.5</v>
      </c>
      <c r="M416" s="1">
        <f t="shared" si="28"/>
        <v>1532.8333333333333</v>
      </c>
      <c r="N416" t="str">
        <f t="shared" si="25"/>
        <v>PAYS DE LA LOIRE|49 - Maine-et-Loire|CC Anjou Bleu Communauté</v>
      </c>
      <c r="O416" t="str">
        <f t="shared" si="26"/>
        <v>Province</v>
      </c>
    </row>
    <row r="417" spans="1:15" x14ac:dyDescent="0.25">
      <c r="A417" t="s">
        <v>956</v>
      </c>
      <c r="B417" t="str">
        <f t="shared" si="27"/>
        <v>Maine-et-Loire</v>
      </c>
      <c r="C417" t="s">
        <v>978</v>
      </c>
      <c r="D417" t="s">
        <v>987</v>
      </c>
      <c r="E417">
        <v>244900882</v>
      </c>
      <c r="F417">
        <v>2024</v>
      </c>
      <c r="G417" t="s">
        <v>21</v>
      </c>
      <c r="H417" s="1">
        <v>11490</v>
      </c>
      <c r="I417" s="4">
        <v>15220</v>
      </c>
      <c r="J417" s="4">
        <v>19200</v>
      </c>
      <c r="K417" s="1">
        <f t="shared" si="28"/>
        <v>957.5</v>
      </c>
      <c r="L417" s="1">
        <f t="shared" si="28"/>
        <v>1268.3333333333333</v>
      </c>
      <c r="M417" s="1">
        <f t="shared" si="28"/>
        <v>1600</v>
      </c>
      <c r="N417" t="str">
        <f t="shared" si="25"/>
        <v>PAYS DE LA LOIRE|49 - Maine-et-Loire|CC Baugeois Vallée</v>
      </c>
      <c r="O417" t="str">
        <f t="shared" si="26"/>
        <v>Province</v>
      </c>
    </row>
    <row r="418" spans="1:15" x14ac:dyDescent="0.25">
      <c r="A418" t="s">
        <v>956</v>
      </c>
      <c r="B418" t="str">
        <f t="shared" si="27"/>
        <v>Maine-et-Loire</v>
      </c>
      <c r="C418" t="s">
        <v>978</v>
      </c>
      <c r="D418" t="s">
        <v>969</v>
      </c>
      <c r="E418">
        <v>244400552</v>
      </c>
      <c r="F418">
        <v>2024</v>
      </c>
      <c r="G418" t="s">
        <v>21</v>
      </c>
      <c r="H418" s="1">
        <v>10986</v>
      </c>
      <c r="I418" s="4">
        <v>14448</v>
      </c>
      <c r="J418" s="4">
        <v>18600</v>
      </c>
      <c r="K418" s="1">
        <f t="shared" si="28"/>
        <v>915.5</v>
      </c>
      <c r="L418" s="1">
        <f t="shared" si="28"/>
        <v>1204</v>
      </c>
      <c r="M418" s="1">
        <f t="shared" si="28"/>
        <v>1550</v>
      </c>
      <c r="N418" t="str">
        <f t="shared" si="25"/>
        <v>PAYS DE LA LOIRE|49 - Maine-et-Loire|CC du Pays d'Ancenis</v>
      </c>
      <c r="O418" t="str">
        <f t="shared" si="26"/>
        <v>Province</v>
      </c>
    </row>
    <row r="419" spans="1:15" x14ac:dyDescent="0.25">
      <c r="A419" t="s">
        <v>956</v>
      </c>
      <c r="B419" t="str">
        <f t="shared" si="27"/>
        <v>Maine-et-Loire</v>
      </c>
      <c r="C419" t="s">
        <v>978</v>
      </c>
      <c r="D419" t="s">
        <v>989</v>
      </c>
      <c r="E419">
        <v>200071553</v>
      </c>
      <c r="F419">
        <v>2024</v>
      </c>
      <c r="G419" t="s">
        <v>21</v>
      </c>
      <c r="H419" s="1">
        <v>12653</v>
      </c>
      <c r="I419" s="4">
        <v>17072</v>
      </c>
      <c r="J419" s="4">
        <v>20991</v>
      </c>
      <c r="K419" s="1">
        <f t="shared" si="28"/>
        <v>1054.4166666666667</v>
      </c>
      <c r="L419" s="1">
        <f t="shared" si="28"/>
        <v>1422.6666666666667</v>
      </c>
      <c r="M419" s="1">
        <f t="shared" si="28"/>
        <v>1749.25</v>
      </c>
      <c r="N419" t="str">
        <f t="shared" si="25"/>
        <v>PAYS DE LA LOIRE|49 - Maine-et-Loire|CC Loire Layon Aubance</v>
      </c>
      <c r="O419" t="str">
        <f t="shared" si="26"/>
        <v>Province</v>
      </c>
    </row>
    <row r="420" spans="1:15" x14ac:dyDescent="0.25">
      <c r="A420" t="s">
        <v>956</v>
      </c>
      <c r="B420" t="str">
        <f t="shared" si="27"/>
        <v>Maine-et-Loire</v>
      </c>
      <c r="C420" t="s">
        <v>978</v>
      </c>
      <c r="D420" t="s">
        <v>991</v>
      </c>
      <c r="E420">
        <v>244900015</v>
      </c>
      <c r="F420">
        <v>2024</v>
      </c>
      <c r="G420" t="s">
        <v>21</v>
      </c>
      <c r="H420" s="1">
        <v>10668</v>
      </c>
      <c r="I420" s="4">
        <v>15016</v>
      </c>
      <c r="J420" s="4">
        <v>19596</v>
      </c>
      <c r="K420" s="1">
        <f t="shared" si="28"/>
        <v>889</v>
      </c>
      <c r="L420" s="1">
        <f t="shared" si="28"/>
        <v>1251.3333333333333</v>
      </c>
      <c r="M420" s="1">
        <f t="shared" si="28"/>
        <v>1633</v>
      </c>
      <c r="N420" t="str">
        <f t="shared" si="25"/>
        <v>PAYS DE LA LOIRE|49 - Maine-et-Loire|CU Angers Loire Métropole</v>
      </c>
      <c r="O420" t="str">
        <f t="shared" si="26"/>
        <v>Province</v>
      </c>
    </row>
    <row r="421" spans="1:15" x14ac:dyDescent="0.25">
      <c r="A421" t="s">
        <v>956</v>
      </c>
      <c r="B421" t="str">
        <f t="shared" si="27"/>
        <v>Mayenne</v>
      </c>
      <c r="C421" t="s">
        <v>994</v>
      </c>
      <c r="D421" t="s">
        <v>995</v>
      </c>
      <c r="E421">
        <v>200083392</v>
      </c>
      <c r="F421">
        <v>2024</v>
      </c>
      <c r="G421" t="s">
        <v>21</v>
      </c>
      <c r="H421" s="1">
        <v>10404</v>
      </c>
      <c r="I421" s="4">
        <v>14368</v>
      </c>
      <c r="J421" s="4">
        <v>18993</v>
      </c>
      <c r="K421" s="1">
        <f t="shared" si="28"/>
        <v>867</v>
      </c>
      <c r="L421" s="1">
        <f t="shared" si="28"/>
        <v>1197.3333333333333</v>
      </c>
      <c r="M421" s="1">
        <f t="shared" si="28"/>
        <v>1582.75</v>
      </c>
      <c r="N421" t="str">
        <f t="shared" si="25"/>
        <v>PAYS DE LA LOIRE|53 - Mayenne|CA Laval Agglomération</v>
      </c>
      <c r="O421" t="str">
        <f t="shared" si="26"/>
        <v>Province</v>
      </c>
    </row>
    <row r="422" spans="1:15" x14ac:dyDescent="0.25">
      <c r="A422" t="s">
        <v>956</v>
      </c>
      <c r="B422" t="str">
        <f t="shared" si="27"/>
        <v>Mayenne</v>
      </c>
      <c r="C422" t="s">
        <v>994</v>
      </c>
      <c r="D422" t="s">
        <v>997</v>
      </c>
      <c r="E422">
        <v>245300447</v>
      </c>
      <c r="F422">
        <v>2024</v>
      </c>
      <c r="G422" t="s">
        <v>21</v>
      </c>
      <c r="H422" s="1">
        <v>10551</v>
      </c>
      <c r="I422" s="4">
        <v>14520</v>
      </c>
      <c r="J422" s="4">
        <v>18000</v>
      </c>
      <c r="K422" s="1">
        <f t="shared" si="28"/>
        <v>879.25</v>
      </c>
      <c r="L422" s="1">
        <f t="shared" si="28"/>
        <v>1210</v>
      </c>
      <c r="M422" s="1">
        <f t="shared" si="28"/>
        <v>1500</v>
      </c>
      <c r="N422" t="str">
        <f t="shared" si="25"/>
        <v>PAYS DE LA LOIRE|53 - Mayenne|CC du Pays de Château-Gontier</v>
      </c>
      <c r="O422" t="str">
        <f t="shared" si="26"/>
        <v>Province</v>
      </c>
    </row>
    <row r="423" spans="1:15" x14ac:dyDescent="0.25">
      <c r="A423" t="s">
        <v>956</v>
      </c>
      <c r="B423" t="str">
        <f t="shared" si="27"/>
        <v>Mayenne</v>
      </c>
      <c r="C423" t="s">
        <v>994</v>
      </c>
      <c r="D423" t="s">
        <v>999</v>
      </c>
      <c r="E423">
        <v>247200090</v>
      </c>
      <c r="F423">
        <v>2024</v>
      </c>
      <c r="G423" t="s">
        <v>21</v>
      </c>
      <c r="H423" s="1">
        <v>9890</v>
      </c>
      <c r="I423" s="4">
        <v>13860</v>
      </c>
      <c r="J423" s="4">
        <v>18000</v>
      </c>
      <c r="K423" s="1">
        <f t="shared" si="28"/>
        <v>824.16666666666663</v>
      </c>
      <c r="L423" s="1">
        <f t="shared" si="28"/>
        <v>1155</v>
      </c>
      <c r="M423" s="1">
        <f t="shared" si="28"/>
        <v>1500</v>
      </c>
      <c r="N423" t="str">
        <f t="shared" si="25"/>
        <v>PAYS DE LA LOIRE|53 - Mayenne|CC du Pays Sabolien</v>
      </c>
      <c r="O423" t="str">
        <f t="shared" si="26"/>
        <v>Province</v>
      </c>
    </row>
    <row r="424" spans="1:15" x14ac:dyDescent="0.25">
      <c r="A424" t="s">
        <v>956</v>
      </c>
      <c r="B424" t="str">
        <f t="shared" si="27"/>
        <v>Mayenne</v>
      </c>
      <c r="C424" t="s">
        <v>994</v>
      </c>
      <c r="D424" t="s">
        <v>1001</v>
      </c>
      <c r="E424">
        <v>200055887</v>
      </c>
      <c r="F424">
        <v>2024</v>
      </c>
      <c r="G424" t="s">
        <v>21</v>
      </c>
      <c r="H424" s="1">
        <v>10061</v>
      </c>
      <c r="I424" s="4">
        <v>13421</v>
      </c>
      <c r="J424" s="4">
        <v>18387</v>
      </c>
      <c r="K424" s="1">
        <f t="shared" si="28"/>
        <v>838.41666666666663</v>
      </c>
      <c r="L424" s="1">
        <f t="shared" si="28"/>
        <v>1118.4166666666667</v>
      </c>
      <c r="M424" s="1">
        <f t="shared" si="28"/>
        <v>1532.25</v>
      </c>
      <c r="N424" t="str">
        <f t="shared" si="25"/>
        <v>PAYS DE LA LOIRE|53 - Mayenne|CC Mayenne Communauté</v>
      </c>
      <c r="O424" t="str">
        <f t="shared" si="26"/>
        <v>Province</v>
      </c>
    </row>
    <row r="425" spans="1:15" x14ac:dyDescent="0.25">
      <c r="A425" t="s">
        <v>956</v>
      </c>
      <c r="B425" t="str">
        <f t="shared" si="27"/>
        <v>Sarthe</v>
      </c>
      <c r="C425" t="s">
        <v>1004</v>
      </c>
      <c r="D425" t="s">
        <v>999</v>
      </c>
      <c r="E425">
        <v>247200090</v>
      </c>
      <c r="F425">
        <v>2024</v>
      </c>
      <c r="G425" t="s">
        <v>21</v>
      </c>
      <c r="H425" s="1">
        <v>9890</v>
      </c>
      <c r="I425" s="4">
        <v>13860</v>
      </c>
      <c r="J425" s="4">
        <v>18000</v>
      </c>
      <c r="K425" s="1">
        <f t="shared" si="28"/>
        <v>824.16666666666663</v>
      </c>
      <c r="L425" s="1">
        <f t="shared" si="28"/>
        <v>1155</v>
      </c>
      <c r="M425" s="1">
        <f t="shared" si="28"/>
        <v>1500</v>
      </c>
      <c r="N425" t="str">
        <f t="shared" si="25"/>
        <v>PAYS DE LA LOIRE|72 - Sarthe|CC du Pays Sabolien</v>
      </c>
      <c r="O425" t="str">
        <f t="shared" si="26"/>
        <v>Province</v>
      </c>
    </row>
    <row r="426" spans="1:15" x14ac:dyDescent="0.25">
      <c r="A426" t="s">
        <v>956</v>
      </c>
      <c r="B426" t="str">
        <f t="shared" si="27"/>
        <v>Sarthe</v>
      </c>
      <c r="C426" t="s">
        <v>1004</v>
      </c>
      <c r="D426" t="s">
        <v>720</v>
      </c>
      <c r="E426">
        <v>246100663</v>
      </c>
      <c r="F426">
        <v>2024</v>
      </c>
      <c r="G426" t="s">
        <v>21</v>
      </c>
      <c r="H426" s="1">
        <v>8216</v>
      </c>
      <c r="I426" s="4">
        <v>12104</v>
      </c>
      <c r="J426" s="4">
        <v>17568</v>
      </c>
      <c r="K426" s="1">
        <f t="shared" si="28"/>
        <v>684.66666666666663</v>
      </c>
      <c r="L426" s="1">
        <f t="shared" si="28"/>
        <v>1008.6666666666666</v>
      </c>
      <c r="M426" s="1">
        <f t="shared" si="28"/>
        <v>1464</v>
      </c>
      <c r="N426" t="str">
        <f t="shared" si="25"/>
        <v>PAYS DE LA LOIRE|72 - Sarthe|CU d'Alençon</v>
      </c>
      <c r="O426" t="str">
        <f t="shared" si="26"/>
        <v>Province</v>
      </c>
    </row>
    <row r="427" spans="1:15" x14ac:dyDescent="0.25">
      <c r="A427" t="s">
        <v>956</v>
      </c>
      <c r="B427" t="str">
        <f t="shared" si="27"/>
        <v>Sarthe</v>
      </c>
      <c r="C427" t="s">
        <v>1004</v>
      </c>
      <c r="D427" t="s">
        <v>1005</v>
      </c>
      <c r="E427">
        <v>247200132</v>
      </c>
      <c r="F427">
        <v>2024</v>
      </c>
      <c r="G427" t="s">
        <v>21</v>
      </c>
      <c r="H427" s="1">
        <v>9143</v>
      </c>
      <c r="I427" s="4">
        <v>13023</v>
      </c>
      <c r="J427" s="4">
        <v>18000</v>
      </c>
      <c r="K427" s="1">
        <f t="shared" si="28"/>
        <v>761.91666666666663</v>
      </c>
      <c r="L427" s="1">
        <f t="shared" si="28"/>
        <v>1085.25</v>
      </c>
      <c r="M427" s="1">
        <f t="shared" si="28"/>
        <v>1500</v>
      </c>
      <c r="N427" t="str">
        <f t="shared" si="25"/>
        <v>PAYS DE LA LOIRE|72 - Sarthe|CU Le Mans Métropole</v>
      </c>
      <c r="O427" t="str">
        <f t="shared" si="26"/>
        <v>Province</v>
      </c>
    </row>
    <row r="428" spans="1:15" x14ac:dyDescent="0.25">
      <c r="A428" t="s">
        <v>956</v>
      </c>
      <c r="B428" t="str">
        <f t="shared" si="27"/>
        <v>Vendée</v>
      </c>
      <c r="C428" t="s">
        <v>1008</v>
      </c>
      <c r="D428" t="s">
        <v>1009</v>
      </c>
      <c r="E428">
        <v>200023778</v>
      </c>
      <c r="F428">
        <v>2024</v>
      </c>
      <c r="G428" t="s">
        <v>21</v>
      </c>
      <c r="H428" s="1">
        <v>11652</v>
      </c>
      <c r="I428" s="4">
        <v>15960</v>
      </c>
      <c r="J428" s="4">
        <v>19452</v>
      </c>
      <c r="K428" s="1">
        <f t="shared" si="28"/>
        <v>971</v>
      </c>
      <c r="L428" s="1">
        <f t="shared" si="28"/>
        <v>1330</v>
      </c>
      <c r="M428" s="1">
        <f t="shared" si="28"/>
        <v>1621</v>
      </c>
      <c r="N428" t="str">
        <f t="shared" si="25"/>
        <v>PAYS DE LA LOIRE|85 - Vendée|CA du Pays de Saint-Gilles-Croix-de-Vie</v>
      </c>
      <c r="O428" t="str">
        <f t="shared" si="26"/>
        <v>Province</v>
      </c>
    </row>
    <row r="429" spans="1:15" x14ac:dyDescent="0.25">
      <c r="A429" t="s">
        <v>956</v>
      </c>
      <c r="B429" t="str">
        <f t="shared" si="27"/>
        <v>Vendée</v>
      </c>
      <c r="C429" t="s">
        <v>1008</v>
      </c>
      <c r="D429" t="s">
        <v>1011</v>
      </c>
      <c r="E429">
        <v>248500589</v>
      </c>
      <c r="F429">
        <v>2024</v>
      </c>
      <c r="G429" t="s">
        <v>21</v>
      </c>
      <c r="H429" s="1">
        <v>10521</v>
      </c>
      <c r="I429" s="4">
        <v>14400</v>
      </c>
      <c r="J429" s="4">
        <v>19008</v>
      </c>
      <c r="K429" s="1">
        <f t="shared" si="28"/>
        <v>876.75</v>
      </c>
      <c r="L429" s="1">
        <f t="shared" si="28"/>
        <v>1200</v>
      </c>
      <c r="M429" s="1">
        <f t="shared" si="28"/>
        <v>1584</v>
      </c>
      <c r="N429" t="str">
        <f t="shared" si="25"/>
        <v>PAYS DE LA LOIRE|85 - Vendée|CA La Roche-sur-Yon - Agglomération</v>
      </c>
      <c r="O429" t="str">
        <f t="shared" si="26"/>
        <v>Province</v>
      </c>
    </row>
    <row r="430" spans="1:15" x14ac:dyDescent="0.25">
      <c r="A430" t="s">
        <v>956</v>
      </c>
      <c r="B430" t="str">
        <f t="shared" si="27"/>
        <v>Vendée</v>
      </c>
      <c r="C430" t="s">
        <v>1008</v>
      </c>
      <c r="D430" t="s">
        <v>1013</v>
      </c>
      <c r="E430">
        <v>200071165</v>
      </c>
      <c r="F430">
        <v>2024</v>
      </c>
      <c r="G430" t="s">
        <v>21</v>
      </c>
      <c r="H430" s="1">
        <v>11400</v>
      </c>
      <c r="I430" s="4">
        <v>15276</v>
      </c>
      <c r="J430" s="4">
        <v>19520</v>
      </c>
      <c r="K430" s="1">
        <f t="shared" si="28"/>
        <v>950</v>
      </c>
      <c r="L430" s="1">
        <f t="shared" si="28"/>
        <v>1273</v>
      </c>
      <c r="M430" s="1">
        <f t="shared" si="28"/>
        <v>1626.6666666666667</v>
      </c>
      <c r="N430" t="str">
        <f t="shared" si="25"/>
        <v>PAYS DE LA LOIRE|85 - Vendée|CA Les Sables d'Olonne Agglomération</v>
      </c>
      <c r="O430" t="str">
        <f t="shared" si="26"/>
        <v>Province</v>
      </c>
    </row>
    <row r="431" spans="1:15" x14ac:dyDescent="0.25">
      <c r="A431" t="s">
        <v>956</v>
      </c>
      <c r="B431" t="str">
        <f t="shared" si="27"/>
        <v>Vendée</v>
      </c>
      <c r="C431" t="s">
        <v>1008</v>
      </c>
      <c r="D431" t="s">
        <v>1015</v>
      </c>
      <c r="E431">
        <v>200070233</v>
      </c>
      <c r="F431">
        <v>2024</v>
      </c>
      <c r="G431" t="s">
        <v>21</v>
      </c>
      <c r="H431" s="1">
        <v>11916</v>
      </c>
      <c r="I431" s="4">
        <v>15840</v>
      </c>
      <c r="J431" s="4">
        <v>19836</v>
      </c>
      <c r="K431" s="1">
        <f t="shared" si="28"/>
        <v>993</v>
      </c>
      <c r="L431" s="1">
        <f t="shared" si="28"/>
        <v>1320</v>
      </c>
      <c r="M431" s="1">
        <f t="shared" si="28"/>
        <v>1653</v>
      </c>
      <c r="N431" t="str">
        <f t="shared" si="25"/>
        <v>PAYS DE LA LOIRE|85 - Vendée|CA Terres de Montaigu</v>
      </c>
      <c r="O431" t="str">
        <f t="shared" si="26"/>
        <v>Province</v>
      </c>
    </row>
    <row r="432" spans="1:15" x14ac:dyDescent="0.25">
      <c r="A432" t="s">
        <v>956</v>
      </c>
      <c r="B432" t="str">
        <f t="shared" si="27"/>
        <v>Vendée</v>
      </c>
      <c r="C432" t="s">
        <v>1008</v>
      </c>
      <c r="D432" t="s">
        <v>1017</v>
      </c>
      <c r="E432">
        <v>200071629</v>
      </c>
      <c r="F432">
        <v>2024</v>
      </c>
      <c r="G432" t="s">
        <v>21</v>
      </c>
      <c r="H432" s="1">
        <v>10836</v>
      </c>
      <c r="I432" s="4">
        <v>13846</v>
      </c>
      <c r="J432" s="4">
        <v>18152</v>
      </c>
      <c r="K432" s="1">
        <f t="shared" si="28"/>
        <v>903</v>
      </c>
      <c r="L432" s="1">
        <f t="shared" si="28"/>
        <v>1153.8333333333333</v>
      </c>
      <c r="M432" s="1">
        <f t="shared" si="28"/>
        <v>1512.6666666666667</v>
      </c>
      <c r="N432" t="str">
        <f t="shared" si="25"/>
        <v>PAYS DE LA LOIRE|85 - Vendée|CC Challans-Gois Communauté</v>
      </c>
      <c r="O432" t="str">
        <f t="shared" si="26"/>
        <v>Province</v>
      </c>
    </row>
    <row r="433" spans="1:15" x14ac:dyDescent="0.25">
      <c r="A433" t="s">
        <v>956</v>
      </c>
      <c r="B433" t="str">
        <f t="shared" si="27"/>
        <v>Vendée</v>
      </c>
      <c r="C433" t="s">
        <v>1008</v>
      </c>
      <c r="D433" t="s">
        <v>1019</v>
      </c>
      <c r="E433">
        <v>200072882</v>
      </c>
      <c r="F433">
        <v>2024</v>
      </c>
      <c r="G433" t="s">
        <v>21</v>
      </c>
      <c r="H433" s="1">
        <v>11804</v>
      </c>
      <c r="I433" s="4">
        <v>16439</v>
      </c>
      <c r="J433" s="4">
        <v>20037</v>
      </c>
      <c r="K433" s="1">
        <f t="shared" si="28"/>
        <v>983.66666666666663</v>
      </c>
      <c r="L433" s="1">
        <f t="shared" si="28"/>
        <v>1369.9166666666667</v>
      </c>
      <c r="M433" s="1">
        <f t="shared" si="28"/>
        <v>1669.75</v>
      </c>
      <c r="N433" t="str">
        <f t="shared" si="25"/>
        <v>PAYS DE LA LOIRE|85 - Vendée|CC de Vie et Boulogne</v>
      </c>
      <c r="O433" t="str">
        <f t="shared" si="26"/>
        <v>Province</v>
      </c>
    </row>
    <row r="434" spans="1:15" x14ac:dyDescent="0.25">
      <c r="A434" t="s">
        <v>956</v>
      </c>
      <c r="B434" t="str">
        <f t="shared" si="27"/>
        <v>Vendée</v>
      </c>
      <c r="C434" t="s">
        <v>1008</v>
      </c>
      <c r="D434" t="s">
        <v>1021</v>
      </c>
      <c r="E434">
        <v>200071934</v>
      </c>
      <c r="F434">
        <v>2024</v>
      </c>
      <c r="G434" t="s">
        <v>21</v>
      </c>
      <c r="H434" s="1">
        <v>9600</v>
      </c>
      <c r="I434" s="4">
        <v>12953</v>
      </c>
      <c r="J434" s="4">
        <v>17688</v>
      </c>
      <c r="K434" s="1">
        <f t="shared" si="28"/>
        <v>800</v>
      </c>
      <c r="L434" s="1">
        <f t="shared" si="28"/>
        <v>1079.4166666666667</v>
      </c>
      <c r="M434" s="1">
        <f t="shared" si="28"/>
        <v>1474</v>
      </c>
      <c r="N434" t="str">
        <f t="shared" si="25"/>
        <v>PAYS DE LA LOIRE|85 - Vendée|CC du Pays de Fontenay-Vendée</v>
      </c>
      <c r="O434" t="str">
        <f t="shared" si="26"/>
        <v>Province</v>
      </c>
    </row>
    <row r="435" spans="1:15" x14ac:dyDescent="0.25">
      <c r="A435" t="s">
        <v>956</v>
      </c>
      <c r="B435" t="str">
        <f t="shared" si="27"/>
        <v>Vendée</v>
      </c>
      <c r="C435" t="s">
        <v>1008</v>
      </c>
      <c r="D435" t="s">
        <v>1023</v>
      </c>
      <c r="E435">
        <v>248500621</v>
      </c>
      <c r="F435">
        <v>2024</v>
      </c>
      <c r="G435" t="s">
        <v>21</v>
      </c>
      <c r="H435" s="1">
        <v>11298</v>
      </c>
      <c r="I435" s="4">
        <v>15202</v>
      </c>
      <c r="J435" s="4">
        <v>19614</v>
      </c>
      <c r="K435" s="1">
        <f t="shared" si="28"/>
        <v>941.5</v>
      </c>
      <c r="L435" s="1">
        <f t="shared" si="28"/>
        <v>1266.8333333333333</v>
      </c>
      <c r="M435" s="1">
        <f t="shared" si="28"/>
        <v>1634.5</v>
      </c>
      <c r="N435" t="str">
        <f t="shared" si="25"/>
        <v>PAYS DE LA LOIRE|85 - Vendée|CC du Pays des Herbiers</v>
      </c>
      <c r="O435" t="str">
        <f t="shared" si="26"/>
        <v>Province</v>
      </c>
    </row>
    <row r="436" spans="1:15" x14ac:dyDescent="0.25">
      <c r="A436" t="s">
        <v>1025</v>
      </c>
      <c r="B436" t="str">
        <f t="shared" si="27"/>
        <v>Alpes-de-Haute-Provence</v>
      </c>
      <c r="C436" t="s">
        <v>1027</v>
      </c>
      <c r="D436" t="s">
        <v>1028</v>
      </c>
      <c r="E436">
        <v>200034700</v>
      </c>
      <c r="F436">
        <v>2024</v>
      </c>
      <c r="G436" t="s">
        <v>21</v>
      </c>
      <c r="H436" s="1">
        <v>9408</v>
      </c>
      <c r="I436" s="4">
        <v>12880</v>
      </c>
      <c r="J436" s="4">
        <v>17400</v>
      </c>
      <c r="K436" s="1">
        <f t="shared" si="28"/>
        <v>784</v>
      </c>
      <c r="L436" s="1">
        <f t="shared" si="28"/>
        <v>1073.3333333333333</v>
      </c>
      <c r="M436" s="1">
        <f t="shared" si="28"/>
        <v>1450</v>
      </c>
      <c r="N436" t="str">
        <f t="shared" si="25"/>
        <v>PROVENCE-ALPES-CÔTE D'AZUR|04 - Alpes-de-Haute-Provence|CA Durance-Lubéron-Verdon Agglomération</v>
      </c>
      <c r="O436" t="str">
        <f t="shared" si="26"/>
        <v>Province</v>
      </c>
    </row>
    <row r="437" spans="1:15" x14ac:dyDescent="0.25">
      <c r="A437" t="s">
        <v>1025</v>
      </c>
      <c r="B437" t="str">
        <f t="shared" si="27"/>
        <v>Alpes-de-Haute-Provence</v>
      </c>
      <c r="C437" t="s">
        <v>1027</v>
      </c>
      <c r="D437" t="s">
        <v>1030</v>
      </c>
      <c r="E437">
        <v>200067825</v>
      </c>
      <c r="F437">
        <v>2024</v>
      </c>
      <c r="G437" t="s">
        <v>21</v>
      </c>
      <c r="H437" s="1">
        <v>9594</v>
      </c>
      <c r="I437" s="4">
        <v>12864</v>
      </c>
      <c r="J437" s="4">
        <v>17762</v>
      </c>
      <c r="K437" s="1">
        <f t="shared" si="28"/>
        <v>799.5</v>
      </c>
      <c r="L437" s="1">
        <f t="shared" si="28"/>
        <v>1072</v>
      </c>
      <c r="M437" s="1">
        <f t="shared" si="28"/>
        <v>1480.1666666666667</v>
      </c>
      <c r="N437" t="str">
        <f t="shared" si="25"/>
        <v>PROVENCE-ALPES-CÔTE D'AZUR|04 - Alpes-de-Haute-Provence|CA Gap-Tallard-Durance</v>
      </c>
      <c r="O437" t="str">
        <f t="shared" si="26"/>
        <v>Province</v>
      </c>
    </row>
    <row r="438" spans="1:15" x14ac:dyDescent="0.25">
      <c r="A438" t="s">
        <v>1025</v>
      </c>
      <c r="B438" t="str">
        <f t="shared" si="27"/>
        <v>Alpes-de-Haute-Provence</v>
      </c>
      <c r="C438" t="s">
        <v>1027</v>
      </c>
      <c r="D438" t="s">
        <v>1032</v>
      </c>
      <c r="E438">
        <v>200067437</v>
      </c>
      <c r="F438">
        <v>2024</v>
      </c>
      <c r="G438" t="s">
        <v>21</v>
      </c>
      <c r="H438" s="1">
        <v>8963</v>
      </c>
      <c r="I438" s="4">
        <v>12360</v>
      </c>
      <c r="J438" s="4">
        <v>17400</v>
      </c>
      <c r="K438" s="1">
        <f t="shared" si="28"/>
        <v>746.91666666666663</v>
      </c>
      <c r="L438" s="1">
        <f t="shared" si="28"/>
        <v>1030</v>
      </c>
      <c r="M438" s="1">
        <f t="shared" si="28"/>
        <v>1450</v>
      </c>
      <c r="N438" t="str">
        <f t="shared" si="25"/>
        <v>PROVENCE-ALPES-CÔTE D'AZUR|04 - Alpes-de-Haute-Provence|CA Provence-Alpes-Agglomération</v>
      </c>
      <c r="O438" t="str">
        <f t="shared" si="26"/>
        <v>Province</v>
      </c>
    </row>
    <row r="439" spans="1:15" x14ac:dyDescent="0.25">
      <c r="A439" t="s">
        <v>1025</v>
      </c>
      <c r="B439" t="str">
        <f t="shared" si="27"/>
        <v>Alpes-de-Haute-Provence</v>
      </c>
      <c r="C439" t="s">
        <v>1027</v>
      </c>
      <c r="D439" t="s">
        <v>1034</v>
      </c>
      <c r="E439">
        <v>200040624</v>
      </c>
      <c r="F439">
        <v>2024</v>
      </c>
      <c r="G439" t="s">
        <v>21</v>
      </c>
      <c r="H439" s="1">
        <v>9159</v>
      </c>
      <c r="I439" s="4">
        <v>12906</v>
      </c>
      <c r="J439" s="4">
        <v>17486</v>
      </c>
      <c r="K439" s="1">
        <f t="shared" si="28"/>
        <v>763.25</v>
      </c>
      <c r="L439" s="1">
        <f t="shared" si="28"/>
        <v>1075.5</v>
      </c>
      <c r="M439" s="1">
        <f t="shared" si="28"/>
        <v>1457.1666666666667</v>
      </c>
      <c r="N439" t="str">
        <f t="shared" si="25"/>
        <v>PROVENCE-ALPES-CÔTE D'AZUR|04 - Alpes-de-Haute-Provence|CC Pays d'Apt-Luberon</v>
      </c>
      <c r="O439" t="str">
        <f t="shared" si="26"/>
        <v>Province</v>
      </c>
    </row>
    <row r="440" spans="1:15" x14ac:dyDescent="0.25">
      <c r="A440" t="s">
        <v>1025</v>
      </c>
      <c r="B440" t="str">
        <f t="shared" si="27"/>
        <v>Hautes-Alpes</v>
      </c>
      <c r="C440" t="s">
        <v>1037</v>
      </c>
      <c r="D440" t="s">
        <v>1030</v>
      </c>
      <c r="E440">
        <v>200067825</v>
      </c>
      <c r="F440">
        <v>2024</v>
      </c>
      <c r="G440" t="s">
        <v>21</v>
      </c>
      <c r="H440" s="1">
        <v>9594</v>
      </c>
      <c r="I440" s="4">
        <v>12864</v>
      </c>
      <c r="J440" s="4">
        <v>17762</v>
      </c>
      <c r="K440" s="1">
        <f t="shared" si="28"/>
        <v>799.5</v>
      </c>
      <c r="L440" s="1">
        <f t="shared" si="28"/>
        <v>1072</v>
      </c>
      <c r="M440" s="1">
        <f t="shared" si="28"/>
        <v>1480.1666666666667</v>
      </c>
      <c r="N440" t="str">
        <f t="shared" si="25"/>
        <v>PROVENCE-ALPES-CÔTE D'AZUR|05 - Hautes-Alpes|CA Gap-Tallard-Durance</v>
      </c>
      <c r="O440" t="str">
        <f t="shared" si="26"/>
        <v>Province</v>
      </c>
    </row>
    <row r="441" spans="1:15" x14ac:dyDescent="0.25">
      <c r="A441" t="s">
        <v>1025</v>
      </c>
      <c r="B441" t="str">
        <f t="shared" si="27"/>
        <v>Alpes-Maritimes</v>
      </c>
      <c r="C441" t="s">
        <v>1039</v>
      </c>
      <c r="D441" t="s">
        <v>1040</v>
      </c>
      <c r="E441">
        <v>200039915</v>
      </c>
      <c r="F441">
        <v>2024</v>
      </c>
      <c r="G441" t="s">
        <v>21</v>
      </c>
      <c r="H441" s="1">
        <v>10998</v>
      </c>
      <c r="I441" s="4">
        <v>15055</v>
      </c>
      <c r="J441" s="4">
        <v>19958</v>
      </c>
      <c r="K441" s="1">
        <f t="shared" si="28"/>
        <v>916.5</v>
      </c>
      <c r="L441" s="1">
        <f t="shared" si="28"/>
        <v>1254.5833333333333</v>
      </c>
      <c r="M441" s="1">
        <f t="shared" si="28"/>
        <v>1663.1666666666667</v>
      </c>
      <c r="N441" t="str">
        <f t="shared" si="25"/>
        <v>PROVENCE-ALPES-CÔTE D'AZUR|06 - Alpes-Maritimes|CA Cannes Pays de Lérins</v>
      </c>
      <c r="O441" t="str">
        <f t="shared" si="26"/>
        <v>Province</v>
      </c>
    </row>
    <row r="442" spans="1:15" x14ac:dyDescent="0.25">
      <c r="A442" t="s">
        <v>1025</v>
      </c>
      <c r="B442" t="str">
        <f t="shared" si="27"/>
        <v>Alpes-Maritimes</v>
      </c>
      <c r="C442" t="s">
        <v>1039</v>
      </c>
      <c r="D442" t="s">
        <v>1042</v>
      </c>
      <c r="E442">
        <v>240600551</v>
      </c>
      <c r="F442">
        <v>2024</v>
      </c>
      <c r="G442" t="s">
        <v>21</v>
      </c>
      <c r="H442" s="1">
        <v>11075</v>
      </c>
      <c r="I442" s="4">
        <v>15000</v>
      </c>
      <c r="J442" s="4">
        <v>20172</v>
      </c>
      <c r="K442" s="1">
        <f t="shared" si="28"/>
        <v>922.91666666666663</v>
      </c>
      <c r="L442" s="1">
        <f t="shared" si="28"/>
        <v>1250</v>
      </c>
      <c r="M442" s="1">
        <f t="shared" si="28"/>
        <v>1681</v>
      </c>
      <c r="N442" t="str">
        <f t="shared" si="25"/>
        <v>PROVENCE-ALPES-CÔTE D'AZUR|06 - Alpes-Maritimes|CA de la Riviera Française</v>
      </c>
      <c r="O442" t="str">
        <f t="shared" si="26"/>
        <v>Province</v>
      </c>
    </row>
    <row r="443" spans="1:15" x14ac:dyDescent="0.25">
      <c r="A443" t="s">
        <v>1025</v>
      </c>
      <c r="B443" t="str">
        <f t="shared" si="27"/>
        <v>Alpes-Maritimes</v>
      </c>
      <c r="C443" t="s">
        <v>1039</v>
      </c>
      <c r="D443" t="s">
        <v>1044</v>
      </c>
      <c r="E443">
        <v>240600585</v>
      </c>
      <c r="F443">
        <v>2024</v>
      </c>
      <c r="G443" t="s">
        <v>21</v>
      </c>
      <c r="H443" s="1">
        <v>11520</v>
      </c>
      <c r="I443" s="4">
        <v>15756</v>
      </c>
      <c r="J443" s="4">
        <v>20628</v>
      </c>
      <c r="K443" s="1">
        <f t="shared" si="28"/>
        <v>960</v>
      </c>
      <c r="L443" s="1">
        <f t="shared" si="28"/>
        <v>1313</v>
      </c>
      <c r="M443" s="1">
        <f t="shared" si="28"/>
        <v>1719</v>
      </c>
      <c r="N443" t="str">
        <f t="shared" si="25"/>
        <v>PROVENCE-ALPES-CÔTE D'AZUR|06 - Alpes-Maritimes|CA de Sophia Antipolis</v>
      </c>
      <c r="O443" t="str">
        <f t="shared" si="26"/>
        <v>Province</v>
      </c>
    </row>
    <row r="444" spans="1:15" x14ac:dyDescent="0.25">
      <c r="A444" t="s">
        <v>1025</v>
      </c>
      <c r="B444" t="str">
        <f t="shared" si="27"/>
        <v>Alpes-Maritimes</v>
      </c>
      <c r="C444" t="s">
        <v>1039</v>
      </c>
      <c r="D444" t="s">
        <v>1046</v>
      </c>
      <c r="E444">
        <v>200039857</v>
      </c>
      <c r="F444">
        <v>2024</v>
      </c>
      <c r="G444" t="s">
        <v>21</v>
      </c>
      <c r="H444" s="1">
        <v>11311</v>
      </c>
      <c r="I444" s="4">
        <v>15204</v>
      </c>
      <c r="J444" s="4">
        <v>19774</v>
      </c>
      <c r="K444" s="1">
        <f t="shared" si="28"/>
        <v>942.58333333333337</v>
      </c>
      <c r="L444" s="1">
        <f t="shared" si="28"/>
        <v>1267</v>
      </c>
      <c r="M444" s="1">
        <f t="shared" si="28"/>
        <v>1647.8333333333333</v>
      </c>
      <c r="N444" t="str">
        <f t="shared" si="25"/>
        <v>PROVENCE-ALPES-CÔTE D'AZUR|06 - Alpes-Maritimes|CA du Pays de Grasse</v>
      </c>
      <c r="O444" t="str">
        <f t="shared" si="26"/>
        <v>Province</v>
      </c>
    </row>
    <row r="445" spans="1:15" x14ac:dyDescent="0.25">
      <c r="A445" t="s">
        <v>1025</v>
      </c>
      <c r="B445" t="str">
        <f t="shared" si="27"/>
        <v>Alpes-Maritimes</v>
      </c>
      <c r="C445" t="s">
        <v>1039</v>
      </c>
      <c r="D445" t="s">
        <v>1048</v>
      </c>
      <c r="E445">
        <v>200030195</v>
      </c>
      <c r="F445">
        <v>2024</v>
      </c>
      <c r="G445" t="s">
        <v>21</v>
      </c>
      <c r="H445" s="1">
        <v>10446</v>
      </c>
      <c r="I445" s="4">
        <v>14461</v>
      </c>
      <c r="J445" s="4">
        <v>19727</v>
      </c>
      <c r="K445" s="1">
        <f t="shared" si="28"/>
        <v>870.5</v>
      </c>
      <c r="L445" s="1">
        <f t="shared" si="28"/>
        <v>1205.0833333333333</v>
      </c>
      <c r="M445" s="1">
        <f t="shared" si="28"/>
        <v>1643.9166666666667</v>
      </c>
      <c r="N445" t="str">
        <f t="shared" si="25"/>
        <v>PROVENCE-ALPES-CÔTE D'AZUR|06 - Alpes-Maritimes|Métropole Nice Côte d'Azur</v>
      </c>
      <c r="O445" t="str">
        <f t="shared" si="26"/>
        <v>Province</v>
      </c>
    </row>
    <row r="446" spans="1:15" x14ac:dyDescent="0.25">
      <c r="A446" t="s">
        <v>1025</v>
      </c>
      <c r="B446" t="str">
        <f t="shared" si="27"/>
        <v>Bouches-du-Rhône</v>
      </c>
      <c r="C446" t="s">
        <v>1051</v>
      </c>
      <c r="D446" t="s">
        <v>1052</v>
      </c>
      <c r="E446">
        <v>241300417</v>
      </c>
      <c r="F446">
        <v>2024</v>
      </c>
      <c r="G446" t="s">
        <v>21</v>
      </c>
      <c r="H446" s="1">
        <v>8611</v>
      </c>
      <c r="I446" s="4">
        <v>12353</v>
      </c>
      <c r="J446" s="4">
        <v>17400</v>
      </c>
      <c r="K446" s="1">
        <f t="shared" si="28"/>
        <v>717.58333333333337</v>
      </c>
      <c r="L446" s="1">
        <f t="shared" si="28"/>
        <v>1029.4166666666667</v>
      </c>
      <c r="M446" s="1">
        <f t="shared" si="28"/>
        <v>1450</v>
      </c>
      <c r="N446" t="str">
        <f t="shared" si="25"/>
        <v>PROVENCE-ALPES-CÔTE D'AZUR|13 - Bouches-du-Rhône|CA d'Arles-Crau-Camargue-Montagnette</v>
      </c>
      <c r="O446" t="str">
        <f t="shared" si="26"/>
        <v>Province</v>
      </c>
    </row>
    <row r="447" spans="1:15" x14ac:dyDescent="0.25">
      <c r="A447" t="s">
        <v>1025</v>
      </c>
      <c r="B447" t="str">
        <f t="shared" si="27"/>
        <v>Bouches-du-Rhône</v>
      </c>
      <c r="C447" t="s">
        <v>1051</v>
      </c>
      <c r="D447" t="s">
        <v>1056</v>
      </c>
      <c r="E447">
        <v>200054807</v>
      </c>
      <c r="F447">
        <v>2024</v>
      </c>
      <c r="G447" t="s">
        <v>21</v>
      </c>
      <c r="H447" s="1">
        <v>9177</v>
      </c>
      <c r="I447" s="4">
        <v>13275</v>
      </c>
      <c r="J447" s="4">
        <v>18712</v>
      </c>
      <c r="K447" s="1">
        <f t="shared" si="28"/>
        <v>764.75</v>
      </c>
      <c r="L447" s="1">
        <f t="shared" si="28"/>
        <v>1106.25</v>
      </c>
      <c r="M447" s="1">
        <f t="shared" si="28"/>
        <v>1559.3333333333333</v>
      </c>
      <c r="N447" t="str">
        <f t="shared" si="25"/>
        <v>PROVENCE-ALPES-CÔTE D'AZUR|13 - Bouches-du-Rhône|Métropole d'Aix-Marseille-Provence</v>
      </c>
      <c r="O447" t="str">
        <f t="shared" si="26"/>
        <v>Province</v>
      </c>
    </row>
    <row r="448" spans="1:15" x14ac:dyDescent="0.25">
      <c r="A448" t="s">
        <v>1025</v>
      </c>
      <c r="B448" t="str">
        <f t="shared" si="27"/>
        <v>Bouches-du-Rhône</v>
      </c>
      <c r="C448" t="s">
        <v>1051</v>
      </c>
      <c r="D448" t="s">
        <v>1092</v>
      </c>
      <c r="E448">
        <v>200035087</v>
      </c>
      <c r="F448">
        <v>2024</v>
      </c>
      <c r="G448" t="s">
        <v>21</v>
      </c>
      <c r="H448" s="1">
        <v>9686</v>
      </c>
      <c r="I448" s="4">
        <v>13800</v>
      </c>
      <c r="J448" s="4">
        <v>18448</v>
      </c>
      <c r="K448" s="1">
        <f t="shared" si="28"/>
        <v>807.16666666666663</v>
      </c>
      <c r="L448" s="1">
        <f t="shared" si="28"/>
        <v>1150</v>
      </c>
      <c r="M448" s="1">
        <f t="shared" si="28"/>
        <v>1537.3333333333333</v>
      </c>
      <c r="N448" t="str">
        <f t="shared" si="25"/>
        <v>PROVENCE-ALPES-CÔTE D'AZUR|13 - Bouches-du-Rhône|Terre de Provence</v>
      </c>
      <c r="O448" t="str">
        <f t="shared" si="26"/>
        <v>Province</v>
      </c>
    </row>
    <row r="449" spans="1:15" x14ac:dyDescent="0.25">
      <c r="A449" t="s">
        <v>1025</v>
      </c>
      <c r="B449" t="str">
        <f t="shared" si="27"/>
        <v>Var</v>
      </c>
      <c r="C449" t="s">
        <v>1059</v>
      </c>
      <c r="D449" t="s">
        <v>1060</v>
      </c>
      <c r="E449">
        <v>200068104</v>
      </c>
      <c r="F449">
        <v>2024</v>
      </c>
      <c r="G449" t="s">
        <v>21</v>
      </c>
      <c r="H449" s="1">
        <v>9009</v>
      </c>
      <c r="I449" s="4">
        <v>12390</v>
      </c>
      <c r="J449" s="4">
        <v>16831</v>
      </c>
      <c r="K449" s="1">
        <f t="shared" si="28"/>
        <v>750.75</v>
      </c>
      <c r="L449" s="1">
        <f t="shared" si="28"/>
        <v>1032.5</v>
      </c>
      <c r="M449" s="1">
        <f t="shared" si="28"/>
        <v>1402.5833333333333</v>
      </c>
      <c r="N449" t="str">
        <f t="shared" si="25"/>
        <v>PROVENCE-ALPES-CÔTE D'AZUR|83 - Var|CA de la Provence Verte</v>
      </c>
      <c r="O449" t="str">
        <f t="shared" si="26"/>
        <v>Province</v>
      </c>
    </row>
    <row r="450" spans="1:15" x14ac:dyDescent="0.25">
      <c r="A450" t="s">
        <v>1025</v>
      </c>
      <c r="B450" t="str">
        <f t="shared" si="27"/>
        <v>Var</v>
      </c>
      <c r="C450" t="s">
        <v>1059</v>
      </c>
      <c r="D450" t="s">
        <v>1028</v>
      </c>
      <c r="E450">
        <v>200034700</v>
      </c>
      <c r="F450">
        <v>2024</v>
      </c>
      <c r="G450" t="s">
        <v>21</v>
      </c>
      <c r="H450" s="1">
        <v>9408</v>
      </c>
      <c r="I450" s="4">
        <v>12880</v>
      </c>
      <c r="J450" s="4">
        <v>17400</v>
      </c>
      <c r="K450" s="1">
        <f t="shared" si="28"/>
        <v>784</v>
      </c>
      <c r="L450" s="1">
        <f t="shared" si="28"/>
        <v>1073.3333333333333</v>
      </c>
      <c r="M450" s="1">
        <f t="shared" si="28"/>
        <v>1450</v>
      </c>
      <c r="N450" t="str">
        <f t="shared" ref="N450:N466" si="29">SUBSTITUTE(
   UPPER(SUBSTITUTE(TRIM(A450), CHAR(160), " ")) &amp; "|" &amp;
   SUBSTITUTE(TRIM(C450), CHAR(160), " ") &amp; "|" &amp;
   SUBSTITUTE(TRIM(D450), CHAR(160), " "),
   "–", "-"
)</f>
        <v>PROVENCE-ALPES-CÔTE D'AZUR|83 - Var|CA Durance-Lubéron-Verdon Agglomération</v>
      </c>
      <c r="O450" t="str">
        <f t="shared" ref="O450:O466" si="30">IF(A450="Hauts-de-France", "HDF",
IF(A450="Île-de-France", "IDF",
IF(OR(A450="Guadeloupe", A450="Martinique", A450="Guyane", A450="La Réunion", A450="Mayotte"), "OM", "Province")))</f>
        <v>Province</v>
      </c>
    </row>
    <row r="451" spans="1:15" x14ac:dyDescent="0.25">
      <c r="A451" t="s">
        <v>1025</v>
      </c>
      <c r="B451" t="str">
        <f t="shared" ref="B451:B466" si="31">MID(C451,6,LEN(C451))</f>
        <v>Var</v>
      </c>
      <c r="C451" t="s">
        <v>1059</v>
      </c>
      <c r="D451" t="s">
        <v>1062</v>
      </c>
      <c r="E451">
        <v>248300394</v>
      </c>
      <c r="F451">
        <v>2024</v>
      </c>
      <c r="G451" t="s">
        <v>21</v>
      </c>
      <c r="H451" s="1">
        <v>10944</v>
      </c>
      <c r="I451" s="4">
        <v>15128</v>
      </c>
      <c r="J451" s="4">
        <v>19680</v>
      </c>
      <c r="K451" s="1">
        <f t="shared" ref="K451:M466" si="32">H451/12</f>
        <v>912</v>
      </c>
      <c r="L451" s="1">
        <f t="shared" si="32"/>
        <v>1260.6666666666667</v>
      </c>
      <c r="M451" s="1">
        <f t="shared" si="32"/>
        <v>1640</v>
      </c>
      <c r="N451" t="str">
        <f t="shared" si="29"/>
        <v>PROVENCE-ALPES-CÔTE D'AZUR|83 - Var|CA Sud Sainte Baume</v>
      </c>
      <c r="O451" t="str">
        <f t="shared" si="30"/>
        <v>Province</v>
      </c>
    </row>
    <row r="452" spans="1:15" x14ac:dyDescent="0.25">
      <c r="A452" t="s">
        <v>1025</v>
      </c>
      <c r="B452" t="str">
        <f t="shared" si="31"/>
        <v>Var</v>
      </c>
      <c r="C452" t="s">
        <v>1059</v>
      </c>
      <c r="D452" t="s">
        <v>1064</v>
      </c>
      <c r="E452">
        <v>248300410</v>
      </c>
      <c r="F452">
        <v>2024</v>
      </c>
      <c r="G452" t="s">
        <v>21</v>
      </c>
      <c r="H452" s="1">
        <v>11400</v>
      </c>
      <c r="I452" s="4">
        <v>15192</v>
      </c>
      <c r="J452" s="4">
        <v>19704</v>
      </c>
      <c r="K452" s="1">
        <f t="shared" si="32"/>
        <v>950</v>
      </c>
      <c r="L452" s="1">
        <f t="shared" si="32"/>
        <v>1266</v>
      </c>
      <c r="M452" s="1">
        <f t="shared" si="32"/>
        <v>1642</v>
      </c>
      <c r="N452" t="str">
        <f t="shared" si="29"/>
        <v>PROVENCE-ALPES-CÔTE D'AZUR|83 - Var|CC de la Vallée du Gapeau</v>
      </c>
      <c r="O452" t="str">
        <f t="shared" si="30"/>
        <v>Province</v>
      </c>
    </row>
    <row r="453" spans="1:15" x14ac:dyDescent="0.25">
      <c r="A453" t="s">
        <v>1025</v>
      </c>
      <c r="B453" t="str">
        <f t="shared" si="31"/>
        <v>Var</v>
      </c>
      <c r="C453" t="s">
        <v>1059</v>
      </c>
      <c r="D453" t="s">
        <v>1066</v>
      </c>
      <c r="E453">
        <v>200036077</v>
      </c>
      <c r="F453">
        <v>2024</v>
      </c>
      <c r="G453" t="s">
        <v>21</v>
      </c>
      <c r="H453" s="1">
        <v>10566</v>
      </c>
      <c r="I453" s="4">
        <v>14857</v>
      </c>
      <c r="J453" s="4">
        <v>19876</v>
      </c>
      <c r="K453" s="1">
        <f t="shared" si="32"/>
        <v>880.5</v>
      </c>
      <c r="L453" s="1">
        <f t="shared" si="32"/>
        <v>1238.0833333333333</v>
      </c>
      <c r="M453" s="1">
        <f t="shared" si="32"/>
        <v>1656.3333333333333</v>
      </c>
      <c r="N453" t="str">
        <f t="shared" si="29"/>
        <v>PROVENCE-ALPES-CÔTE D'AZUR|83 - Var|CC du Golfe de Saint-Tropez</v>
      </c>
      <c r="O453" t="str">
        <f t="shared" si="30"/>
        <v>Province</v>
      </c>
    </row>
    <row r="454" spans="1:15" x14ac:dyDescent="0.25">
      <c r="A454" t="s">
        <v>1025</v>
      </c>
      <c r="B454" t="str">
        <f t="shared" si="31"/>
        <v>Var</v>
      </c>
      <c r="C454" t="s">
        <v>1059</v>
      </c>
      <c r="D454" t="s">
        <v>1068</v>
      </c>
      <c r="E454">
        <v>200027100</v>
      </c>
      <c r="F454">
        <v>2024</v>
      </c>
      <c r="G454" t="s">
        <v>21</v>
      </c>
      <c r="H454" s="1">
        <v>10689</v>
      </c>
      <c r="I454" s="4">
        <v>14419</v>
      </c>
      <c r="J454" s="4">
        <v>19357</v>
      </c>
      <c r="K454" s="1">
        <f t="shared" si="32"/>
        <v>890.75</v>
      </c>
      <c r="L454" s="1">
        <f t="shared" si="32"/>
        <v>1201.5833333333333</v>
      </c>
      <c r="M454" s="1">
        <f t="shared" si="32"/>
        <v>1613.0833333333333</v>
      </c>
      <c r="N454" t="str">
        <f t="shared" si="29"/>
        <v>PROVENCE-ALPES-CÔTE D'AZUR|83 - Var|CC Méditerranée Porte des Maures</v>
      </c>
      <c r="O454" t="str">
        <f t="shared" si="30"/>
        <v>Province</v>
      </c>
    </row>
    <row r="455" spans="1:15" x14ac:dyDescent="0.25">
      <c r="A455" t="s">
        <v>1025</v>
      </c>
      <c r="B455" t="str">
        <f t="shared" si="31"/>
        <v>Var</v>
      </c>
      <c r="C455" t="s">
        <v>1059</v>
      </c>
      <c r="D455" t="s">
        <v>1070</v>
      </c>
      <c r="E455">
        <v>248300493</v>
      </c>
      <c r="F455">
        <v>2024</v>
      </c>
      <c r="G455" t="s">
        <v>21</v>
      </c>
      <c r="H455" s="1">
        <v>8606</v>
      </c>
      <c r="I455" s="4">
        <v>12480</v>
      </c>
      <c r="J455" s="4">
        <v>17040</v>
      </c>
      <c r="K455" s="1">
        <f t="shared" si="32"/>
        <v>717.16666666666663</v>
      </c>
      <c r="L455" s="1">
        <f t="shared" si="32"/>
        <v>1040</v>
      </c>
      <c r="M455" s="1">
        <f t="shared" si="32"/>
        <v>1420</v>
      </c>
      <c r="N455" t="str">
        <f t="shared" si="29"/>
        <v>PROVENCE-ALPES-CÔTE D'AZUR|83 - Var|Dracénie Provence Verdon Agglomération</v>
      </c>
      <c r="O455" t="str">
        <f t="shared" si="30"/>
        <v>Province</v>
      </c>
    </row>
    <row r="456" spans="1:15" x14ac:dyDescent="0.25">
      <c r="A456" t="s">
        <v>1025</v>
      </c>
      <c r="B456" t="str">
        <f t="shared" si="31"/>
        <v>Var</v>
      </c>
      <c r="C456" t="s">
        <v>1059</v>
      </c>
      <c r="D456" t="s">
        <v>1072</v>
      </c>
      <c r="E456">
        <v>200035319</v>
      </c>
      <c r="F456">
        <v>2024</v>
      </c>
      <c r="G456" t="s">
        <v>21</v>
      </c>
      <c r="H456" s="1">
        <v>9798</v>
      </c>
      <c r="I456" s="4">
        <v>13894</v>
      </c>
      <c r="J456" s="4">
        <v>18805</v>
      </c>
      <c r="K456" s="1">
        <f t="shared" si="32"/>
        <v>816.5</v>
      </c>
      <c r="L456" s="1">
        <f t="shared" si="32"/>
        <v>1157.8333333333333</v>
      </c>
      <c r="M456" s="1">
        <f t="shared" si="32"/>
        <v>1567.0833333333333</v>
      </c>
      <c r="N456" t="str">
        <f t="shared" si="29"/>
        <v>PROVENCE-ALPES-CÔTE D'AZUR|83 - Var|Estérel Côte d'Azur Agglomération</v>
      </c>
      <c r="O456" t="str">
        <f t="shared" si="30"/>
        <v>Province</v>
      </c>
    </row>
    <row r="457" spans="1:15" x14ac:dyDescent="0.25">
      <c r="A457" t="s">
        <v>1025</v>
      </c>
      <c r="B457" t="str">
        <f t="shared" si="31"/>
        <v>Var</v>
      </c>
      <c r="C457" t="s">
        <v>1059</v>
      </c>
      <c r="D457" t="s">
        <v>1056</v>
      </c>
      <c r="E457">
        <v>200054807</v>
      </c>
      <c r="F457">
        <v>2024</v>
      </c>
      <c r="G457" t="s">
        <v>21</v>
      </c>
      <c r="H457" s="1">
        <v>9177</v>
      </c>
      <c r="I457" s="4">
        <v>13275</v>
      </c>
      <c r="J457" s="4">
        <v>18712</v>
      </c>
      <c r="K457" s="1">
        <f t="shared" si="32"/>
        <v>764.75</v>
      </c>
      <c r="L457" s="1">
        <f t="shared" si="32"/>
        <v>1106.25</v>
      </c>
      <c r="M457" s="1">
        <f t="shared" si="32"/>
        <v>1559.3333333333333</v>
      </c>
      <c r="N457" t="str">
        <f t="shared" si="29"/>
        <v>PROVENCE-ALPES-CÔTE D'AZUR|83 - Var|Métropole d'Aix-Marseille-Provence</v>
      </c>
      <c r="O457" t="str">
        <f t="shared" si="30"/>
        <v>Province</v>
      </c>
    </row>
    <row r="458" spans="1:15" x14ac:dyDescent="0.25">
      <c r="A458" t="s">
        <v>1025</v>
      </c>
      <c r="B458" t="str">
        <f t="shared" si="31"/>
        <v>Var</v>
      </c>
      <c r="C458" t="s">
        <v>1059</v>
      </c>
      <c r="D458" t="s">
        <v>1074</v>
      </c>
      <c r="E458">
        <v>248300543</v>
      </c>
      <c r="F458">
        <v>2024</v>
      </c>
      <c r="G458" t="s">
        <v>21</v>
      </c>
      <c r="H458" s="1">
        <v>9131</v>
      </c>
      <c r="I458" s="4">
        <v>13006</v>
      </c>
      <c r="J458" s="4">
        <v>18000</v>
      </c>
      <c r="K458" s="1">
        <f t="shared" si="32"/>
        <v>760.91666666666663</v>
      </c>
      <c r="L458" s="1">
        <f t="shared" si="32"/>
        <v>1083.8333333333333</v>
      </c>
      <c r="M458" s="1">
        <f t="shared" si="32"/>
        <v>1500</v>
      </c>
      <c r="N458" t="str">
        <f t="shared" si="29"/>
        <v>PROVENCE-ALPES-CÔTE D'AZUR|83 - Var|Métropole Toulon-Provence-Méditerranée</v>
      </c>
      <c r="O458" t="str">
        <f t="shared" si="30"/>
        <v>Province</v>
      </c>
    </row>
    <row r="459" spans="1:15" x14ac:dyDescent="0.25">
      <c r="A459" t="s">
        <v>1025</v>
      </c>
      <c r="B459" t="str">
        <f t="shared" si="31"/>
        <v>Vaucluse</v>
      </c>
      <c r="C459" t="s">
        <v>1077</v>
      </c>
      <c r="D459" t="s">
        <v>1078</v>
      </c>
      <c r="E459">
        <v>248400293</v>
      </c>
      <c r="F459">
        <v>2024</v>
      </c>
      <c r="G459" t="s">
        <v>21</v>
      </c>
      <c r="H459" s="1">
        <v>9971</v>
      </c>
      <c r="I459" s="4">
        <v>13401</v>
      </c>
      <c r="J459" s="4">
        <v>18000</v>
      </c>
      <c r="K459" s="1">
        <f t="shared" si="32"/>
        <v>830.91666666666663</v>
      </c>
      <c r="L459" s="1">
        <f t="shared" si="32"/>
        <v>1116.75</v>
      </c>
      <c r="M459" s="1">
        <f t="shared" si="32"/>
        <v>1500</v>
      </c>
      <c r="N459" t="str">
        <f t="shared" si="29"/>
        <v>PROVENCE-ALPES-CÔTE D'AZUR|84 - Vaucluse|CA des Sorgues du Comtat</v>
      </c>
      <c r="O459" t="str">
        <f t="shared" si="30"/>
        <v>Province</v>
      </c>
    </row>
    <row r="460" spans="1:15" x14ac:dyDescent="0.25">
      <c r="A460" t="s">
        <v>1025</v>
      </c>
      <c r="B460" t="str">
        <f t="shared" si="31"/>
        <v>Vaucluse</v>
      </c>
      <c r="C460" t="s">
        <v>1077</v>
      </c>
      <c r="D460" t="s">
        <v>872</v>
      </c>
      <c r="E460">
        <v>248400251</v>
      </c>
      <c r="F460">
        <v>2024</v>
      </c>
      <c r="G460" t="s">
        <v>21</v>
      </c>
      <c r="H460" s="1">
        <v>8651</v>
      </c>
      <c r="I460" s="4">
        <v>12520</v>
      </c>
      <c r="J460" s="4">
        <v>17697</v>
      </c>
      <c r="K460" s="1">
        <f t="shared" si="32"/>
        <v>720.91666666666663</v>
      </c>
      <c r="L460" s="1">
        <f t="shared" si="32"/>
        <v>1043.3333333333333</v>
      </c>
      <c r="M460" s="1">
        <f t="shared" si="32"/>
        <v>1474.75</v>
      </c>
      <c r="N460" t="str">
        <f t="shared" si="29"/>
        <v>PROVENCE-ALPES-CÔTE D'AZUR|84 - Vaucluse|CA du Grand Avignon (COGA)</v>
      </c>
      <c r="O460" t="str">
        <f t="shared" si="30"/>
        <v>Province</v>
      </c>
    </row>
    <row r="461" spans="1:15" x14ac:dyDescent="0.25">
      <c r="A461" t="s">
        <v>1025</v>
      </c>
      <c r="B461" t="str">
        <f t="shared" si="31"/>
        <v>Vaucluse</v>
      </c>
      <c r="C461" t="s">
        <v>1077</v>
      </c>
      <c r="D461" t="s">
        <v>1080</v>
      </c>
      <c r="E461">
        <v>200040442</v>
      </c>
      <c r="F461">
        <v>2024</v>
      </c>
      <c r="G461" t="s">
        <v>21</v>
      </c>
      <c r="H461" s="1">
        <v>9180</v>
      </c>
      <c r="I461" s="4">
        <v>12732</v>
      </c>
      <c r="J461" s="4">
        <v>17956</v>
      </c>
      <c r="K461" s="1">
        <f t="shared" si="32"/>
        <v>765</v>
      </c>
      <c r="L461" s="1">
        <f t="shared" si="32"/>
        <v>1061</v>
      </c>
      <c r="M461" s="1">
        <f t="shared" si="32"/>
        <v>1496.3333333333333</v>
      </c>
      <c r="N461" t="str">
        <f t="shared" si="29"/>
        <v>PROVENCE-ALPES-CÔTE D'AZUR|84 - Vaucluse|CA Luberon Monts de Vaucluse</v>
      </c>
      <c r="O461" t="str">
        <f t="shared" si="30"/>
        <v>Province</v>
      </c>
    </row>
    <row r="462" spans="1:15" x14ac:dyDescent="0.25">
      <c r="A462" t="s">
        <v>1025</v>
      </c>
      <c r="B462" t="str">
        <f t="shared" si="31"/>
        <v>Vaucluse</v>
      </c>
      <c r="C462" t="s">
        <v>1077</v>
      </c>
      <c r="D462" t="s">
        <v>1082</v>
      </c>
      <c r="E462">
        <v>248400053</v>
      </c>
      <c r="F462">
        <v>2024</v>
      </c>
      <c r="G462" t="s">
        <v>21</v>
      </c>
      <c r="H462" s="1">
        <v>8328</v>
      </c>
      <c r="I462" s="4">
        <v>11652</v>
      </c>
      <c r="J462" s="4">
        <v>16080</v>
      </c>
      <c r="K462" s="1">
        <f t="shared" si="32"/>
        <v>694</v>
      </c>
      <c r="L462" s="1">
        <f t="shared" si="32"/>
        <v>971</v>
      </c>
      <c r="M462" s="1">
        <f t="shared" si="32"/>
        <v>1340</v>
      </c>
      <c r="N462" t="str">
        <f t="shared" si="29"/>
        <v>PROVENCE-ALPES-CÔTE D'AZUR|84 - Vaucluse|CA Ventoux-Comtat-Venaissin (COVE)</v>
      </c>
      <c r="O462" t="str">
        <f t="shared" si="30"/>
        <v>Province</v>
      </c>
    </row>
    <row r="463" spans="1:15" x14ac:dyDescent="0.25">
      <c r="A463" t="s">
        <v>1025</v>
      </c>
      <c r="B463" t="str">
        <f t="shared" si="31"/>
        <v>Vaucluse</v>
      </c>
      <c r="C463" t="s">
        <v>1077</v>
      </c>
      <c r="D463" t="s">
        <v>1088</v>
      </c>
      <c r="E463">
        <v>200040681</v>
      </c>
      <c r="F463">
        <v>2024</v>
      </c>
      <c r="G463" t="s">
        <v>21</v>
      </c>
      <c r="H463" s="1">
        <v>8450</v>
      </c>
      <c r="I463" s="4">
        <v>12345</v>
      </c>
      <c r="J463" s="4">
        <v>17133</v>
      </c>
      <c r="K463" s="1">
        <f t="shared" si="32"/>
        <v>704.16666666666663</v>
      </c>
      <c r="L463" s="1">
        <f t="shared" si="32"/>
        <v>1028.75</v>
      </c>
      <c r="M463" s="1">
        <f t="shared" si="32"/>
        <v>1427.75</v>
      </c>
      <c r="N463" t="str">
        <f t="shared" si="29"/>
        <v>PROVENCE-ALPES-CÔTE D'AZUR|84 - Vaucluse|CC Enclave des Papes - Pays de Grignan</v>
      </c>
      <c r="O463" t="str">
        <f t="shared" si="30"/>
        <v>Province</v>
      </c>
    </row>
    <row r="464" spans="1:15" x14ac:dyDescent="0.25">
      <c r="A464" t="s">
        <v>1025</v>
      </c>
      <c r="B464" t="str">
        <f t="shared" si="31"/>
        <v>Vaucluse</v>
      </c>
      <c r="C464" t="s">
        <v>1077</v>
      </c>
      <c r="D464" t="s">
        <v>1034</v>
      </c>
      <c r="E464">
        <v>200040624</v>
      </c>
      <c r="F464">
        <v>2024</v>
      </c>
      <c r="G464" t="s">
        <v>21</v>
      </c>
      <c r="H464" s="1">
        <v>9159</v>
      </c>
      <c r="I464" s="4">
        <v>12906</v>
      </c>
      <c r="J464" s="4">
        <v>17486</v>
      </c>
      <c r="K464" s="1">
        <f t="shared" si="32"/>
        <v>763.25</v>
      </c>
      <c r="L464" s="1">
        <f t="shared" si="32"/>
        <v>1075.5</v>
      </c>
      <c r="M464" s="1">
        <f t="shared" si="32"/>
        <v>1457.1666666666667</v>
      </c>
      <c r="N464" t="str">
        <f t="shared" si="29"/>
        <v>PROVENCE-ALPES-CÔTE D'AZUR|84 - Vaucluse|CC Pays d'Apt-Luberon</v>
      </c>
      <c r="O464" t="str">
        <f t="shared" si="30"/>
        <v>Province</v>
      </c>
    </row>
    <row r="465" spans="1:15" x14ac:dyDescent="0.25">
      <c r="A465" t="s">
        <v>1025</v>
      </c>
      <c r="B465" t="str">
        <f t="shared" si="31"/>
        <v>Vaucluse</v>
      </c>
      <c r="C465" t="s">
        <v>1077</v>
      </c>
      <c r="D465" t="s">
        <v>1056</v>
      </c>
      <c r="E465">
        <v>200054807</v>
      </c>
      <c r="F465">
        <v>2024</v>
      </c>
      <c r="G465" t="s">
        <v>21</v>
      </c>
      <c r="H465" s="1">
        <v>9177</v>
      </c>
      <c r="I465" s="4">
        <v>13275</v>
      </c>
      <c r="J465" s="4">
        <v>18712</v>
      </c>
      <c r="K465" s="1">
        <f t="shared" si="32"/>
        <v>764.75</v>
      </c>
      <c r="L465" s="1">
        <f t="shared" si="32"/>
        <v>1106.25</v>
      </c>
      <c r="M465" s="1">
        <f t="shared" si="32"/>
        <v>1559.3333333333333</v>
      </c>
      <c r="N465" t="str">
        <f t="shared" si="29"/>
        <v>PROVENCE-ALPES-CÔTE D'AZUR|84 - Vaucluse|Métropole d'Aix-Marseille-Provence</v>
      </c>
      <c r="O465" t="str">
        <f t="shared" si="30"/>
        <v>Province</v>
      </c>
    </row>
    <row r="466" spans="1:15" x14ac:dyDescent="0.25">
      <c r="A466" t="s">
        <v>1025</v>
      </c>
      <c r="B466" t="str">
        <f t="shared" si="31"/>
        <v>Vaucluse</v>
      </c>
      <c r="C466" t="s">
        <v>1077</v>
      </c>
      <c r="D466" t="s">
        <v>1084</v>
      </c>
      <c r="E466">
        <v>248400236</v>
      </c>
      <c r="F466">
        <v>2024</v>
      </c>
      <c r="G466" t="s">
        <v>21</v>
      </c>
      <c r="H466" s="1">
        <v>8842</v>
      </c>
      <c r="I466" s="4">
        <v>12219</v>
      </c>
      <c r="J466" s="4">
        <v>16908</v>
      </c>
      <c r="K466" s="1">
        <f t="shared" si="32"/>
        <v>736.83333333333337</v>
      </c>
      <c r="L466" s="1">
        <f t="shared" si="32"/>
        <v>1018.25</v>
      </c>
      <c r="M466" s="1">
        <f t="shared" si="32"/>
        <v>1409</v>
      </c>
      <c r="N466" t="str">
        <f t="shared" si="29"/>
        <v>PROVENCE-ALPES-CÔTE D'AZUR|84 - Vaucluse|Pays d'Orange en Provence</v>
      </c>
      <c r="O466" t="str">
        <f t="shared" si="30"/>
        <v>Province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Quartiles_2026</vt:lpstr>
      <vt:lpstr>Quartiles_2025</vt:lpstr>
      <vt:lpstr>Quartiles_2024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Laëtitia DEKEN</dc:creator>
  <cp:lastModifiedBy>Laëtitia DEKEN</cp:lastModifiedBy>
  <dcterms:created xsi:type="dcterms:W3CDTF">2026-08-07T13:38:34Z</dcterms:created>
  <dcterms:modified xsi:type="dcterms:W3CDTF">2026-08-07T13:45:05Z</dcterms:modified>
</cp:coreProperties>
</file>